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ector Dashboard" sheetId="1" state="visible" r:id="rId3"/>
    <sheet name="Daily Tasks" sheetId="2" state="visible" r:id="rId4"/>
    <sheet name="Anjali Log" sheetId="3" state="visible" r:id="rId5"/>
    <sheet name="Samiksha Log" sheetId="4" state="visible" r:id="rId6"/>
    <sheet name="Madhu Log" sheetId="5" state="visible" r:id="rId7"/>
    <sheet name="Sowmya Log" sheetId="6" state="visible" r:id="rId8"/>
    <sheet name="Bawankar Log" sheetId="7" state="visible" r:id="rId9"/>
    <sheet name="Muzammil Log" sheetId="8" state="visible" r:id="rId10"/>
    <sheet name="Cross-Verify" sheetId="9" state="visible" r:id="rId11"/>
    <sheet name="Red Flags" sheetId="10" state="visible" r:id="rId12"/>
    <sheet name="Instructions" sheetId="11" state="visible" r:id="rId13"/>
  </sheets>
  <definedNames>
    <definedName function="false" hidden="true" localSheetId="1" name="_xlnm._FilterDatabase" vbProcedure="false">'Daily Tasks'!$A$3:$F$43</definedName>
    <definedName function="false" hidden="true" localSheetId="9" name="_xlnm._FilterDatabase" vbProcedure="false">'Red Flags'!$A$3:$F$50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<sst xmlns="http://schemas.openxmlformats.org/spreadsheetml/2006/main" count="464" uniqueCount="286">
  <si>
    <t xml:space="preserve">DIRECTOR'S REMOTE DASHBOARD — 25 MAY to 5 JUN 2026</t>
  </si>
  <si>
    <t xml:space="preserve">Open this sheet once a day at 9:00 PM IST. Scan numbers. Send 2-3 WhatsApps. Done in 15 minutes.</t>
  </si>
  <si>
    <t xml:space="preserve">TODAY'S STATUS — ALL FUNCTIONS</t>
  </si>
  <si>
    <t xml:space="preserve">Date Today</t>
  </si>
  <si>
    <t xml:space="preserve">Reports Submitted</t>
  </si>
  <si>
    <t xml:space="preserve">Expected (6 per day)</t>
  </si>
  <si>
    <t xml:space="preserve">Compliance %</t>
  </si>
  <si>
    <t xml:space="preserve">Today's New Leads</t>
  </si>
  <si>
    <t xml:space="preserve">Today's Counsellings</t>
  </si>
  <si>
    <t xml:space="preserve">Today's Admissions</t>
  </si>
  <si>
    <t xml:space="preserve">Today's Collection</t>
  </si>
  <si>
    <t xml:space="preserve">Red Flags Open</t>
  </si>
  <si>
    <t xml:space="preserve">Cross-Verify Issues</t>
  </si>
  <si>
    <t xml:space="preserve">DAY-WISE COMPLIANCE — DID EVERYONE REPORT?</t>
  </si>
  <si>
    <t xml:space="preserve">Date</t>
  </si>
  <si>
    <t xml:space="preserve">Day</t>
  </si>
  <si>
    <t xml:space="preserve">Anjali</t>
  </si>
  <si>
    <t xml:space="preserve">Samiksha</t>
  </si>
  <si>
    <t xml:space="preserve">Madhu</t>
  </si>
  <si>
    <t xml:space="preserve">Sowmya</t>
  </si>
  <si>
    <t xml:space="preserve">Bawankar</t>
  </si>
  <si>
    <t xml:space="preserve">Muzammil</t>
  </si>
  <si>
    <t xml:space="preserve">Score</t>
  </si>
  <si>
    <t xml:space="preserve">Notes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</si>
  <si>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</si>
  <si>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</si>
  <si>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</si>
  <si>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</si>
  <si>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</si>
  <si>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</si>
  <si>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</si>
  <si>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ACTION REQUIRED FROM YOU</t>
  </si>
  <si>
    <t xml:space="preserve">Reports missing today (call them)</t>
  </si>
  <si>
    <t xml:space="preserve">Red flags awaiting your decision</t>
  </si>
  <si>
    <t xml:space="preserve">Leads with no follow-up &gt;2 days</t>
  </si>
  <si>
    <t xml:space="preserve">"See Lead Tracker"</t>
  </si>
  <si>
    <t xml:space="preserve">Cross-verify mismatches today</t>
  </si>
  <si>
    <t xml:space="preserve">See Lead Tracker</t>
  </si>
  <si>
    <t xml:space="preserve">Pending approvals (fee waivers/refunds)</t>
  </si>
  <si>
    <t xml:space="preserve">THE RANKERS ACADEMY | Director's Remote Tracker | Updated automatically from staff logs</t>
  </si>
  <si>
    <t xml:space="preserve">PRE-ASSIGNED DAILY TASKS — EVERYONE FOLLOWS THIS</t>
  </si>
  <si>
    <t xml:space="preserve">These tasks run every working day, 25 May – 5 June. No deviation without Director's WhatsApp approval.</t>
  </si>
  <si>
    <t xml:space="preserve">Person</t>
  </si>
  <si>
    <t xml:space="preserve">Time</t>
  </si>
  <si>
    <t xml:space="preserve">Task</t>
  </si>
  <si>
    <t xml:space="preserve">Output Expected</t>
  </si>
  <si>
    <t xml:space="preserve">Verified By</t>
  </si>
  <si>
    <t xml:space="preserve">Priority</t>
  </si>
  <si>
    <t xml:space="preserve">10:00–10:45</t>
  </si>
  <si>
    <t xml:space="preserve">Check yesterday's missed calls; review Lead Tracker for fresh leads from Sowmya</t>
  </si>
  <si>
    <t xml:space="preserve">5-min status note in Caller WhatsApp group</t>
  </si>
  <si>
    <t xml:space="preserve">Director (via Sheet)</t>
  </si>
  <si>
    <t xml:space="preserve">HIGH</t>
  </si>
  <si>
    <t xml:space="preserve">10:45–1:00</t>
  </si>
  <si>
    <t xml:space="preserve">Fresh lead calling — target 25 dials, log all in Lead Tracker</t>
  </si>
  <si>
    <t xml:space="preserve">Update Status column in Lead Tracker live</t>
  </si>
  <si>
    <t xml:space="preserve">Lead Tracker</t>
  </si>
  <si>
    <t xml:space="preserve">2:00–4:00</t>
  </si>
  <si>
    <t xml:space="preserve">Follow-ups on Interested + Counselling Booked leads</t>
  </si>
  <si>
    <t xml:space="preserve">Status changes in Lead Tracker</t>
  </si>
  <si>
    <t xml:space="preserve">4:00–6:00</t>
  </si>
  <si>
    <t xml:space="preserve">Hot leads; book Madhu slots for confirmed prospects</t>
  </si>
  <si>
    <t xml:space="preserve">Counselling Calendar entries</t>
  </si>
  <si>
    <t xml:space="preserve">Madhu daily report</t>
  </si>
  <si>
    <t xml:space="preserve">5:50–6:00</t>
  </si>
  <si>
    <t xml:space="preserve">Fill her row in 'Anjali Log' sheet + send WhatsApp EOD report</t>
  </si>
  <si>
    <t xml:space="preserve">Daily numbers logged + WhatsApp to Director</t>
  </si>
  <si>
    <t xml:space="preserve">Director</t>
  </si>
  <si>
    <t xml:space="preserve">CRITICAL</t>
  </si>
  <si>
    <t xml:space="preserve">Follow-up on yesterday's Interested leads; re-engage old enquiries</t>
  </si>
  <si>
    <t xml:space="preserve">Lead Tracker updates</t>
  </si>
  <si>
    <t xml:space="preserve">2:00–5:00</t>
  </si>
  <si>
    <t xml:space="preserve">Re-engagement calls — old enquiry list + demo attendees</t>
  </si>
  <si>
    <t xml:space="preserve">5+ status changes minimum</t>
  </si>
  <si>
    <t xml:space="preserve">5:00–6:30</t>
  </si>
  <si>
    <t xml:space="preserve">Evening callbacks to working parents (prime time)</t>
  </si>
  <si>
    <t xml:space="preserve">3+ counsellings booked target</t>
  </si>
  <si>
    <t xml:space="preserve">Counselling Calendar</t>
  </si>
  <si>
    <t xml:space="preserve">6:30–6:45</t>
  </si>
  <si>
    <t xml:space="preserve">Fill 'Samiksha Log' + send WhatsApp EOD report</t>
  </si>
  <si>
    <t xml:space="preserve">10:45–12:00</t>
  </si>
  <si>
    <t xml:space="preserve">Walk-in parent counselling (morning rush)</t>
  </si>
  <si>
    <t xml:space="preserve">Outcome logged in Counselling sheet</t>
  </si>
  <si>
    <t xml:space="preserve">12:00–2:00</t>
  </si>
  <si>
    <t xml:space="preserve">Scheduled counsellings booked by callers</t>
  </si>
  <si>
    <t xml:space="preserve">Outcome logged for each slot</t>
  </si>
  <si>
    <t xml:space="preserve">Hot lead warm-transfers from callers</t>
  </si>
  <si>
    <t xml:space="preserve">Outcome logged</t>
  </si>
  <si>
    <t xml:space="preserve">4:00–6:30</t>
  </si>
  <si>
    <t xml:space="preserve">Evening walk-ins + working parent meetings</t>
  </si>
  <si>
    <t xml:space="preserve">Fill 'Madhu Log' + send WhatsApp EOD report</t>
  </si>
  <si>
    <t xml:space="preserve">Counsellings done, admissions closed, hot prospects for tomorrow</t>
  </si>
  <si>
    <t xml:space="preserve">10:00–12:00</t>
  </si>
  <si>
    <t xml:space="preserve">Field outreach — school visits, society activations (alt days)</t>
  </si>
  <si>
    <t xml:space="preserve">Photo + location pin on WhatsApp</t>
  </si>
  <si>
    <t xml:space="preserve">Director (random check)</t>
  </si>
  <si>
    <t xml:space="preserve">Digital — Instagram post, WhatsApp broadcast, lead form replies</t>
  </si>
  <si>
    <t xml:space="preserve">1 post minimum + new leads added to Lead Tracker</t>
  </si>
  <si>
    <t xml:space="preserve">Coaching tie-ups, parent referral visits, poster placement</t>
  </si>
  <si>
    <t xml:space="preserve">Visit log with photos</t>
  </si>
  <si>
    <t xml:space="preserve">MEDIUM</t>
  </si>
  <si>
    <t xml:space="preserve">Next-day planning + Muzammil coordination for creatives</t>
  </si>
  <si>
    <t xml:space="preserve">Tomorrow's plan written in Sowmya Log</t>
  </si>
  <si>
    <t xml:space="preserve">6:30–7:00</t>
  </si>
  <si>
    <t xml:space="preserve">Fill 'Sowmya Log' + send WhatsApp EOD report</t>
  </si>
  <si>
    <t xml:space="preserve">Leads generated count + sources + tomorrow's plan</t>
  </si>
  <si>
    <t xml:space="preserve">10:30–12:00</t>
  </si>
  <si>
    <t xml:space="preserve">Open day's cash book; reconcile yesterday's cash + UPI receipts</t>
  </si>
  <si>
    <t xml:space="preserve">Opening cash balance noted</t>
  </si>
  <si>
    <t xml:space="preserve">Bawankar Log</t>
  </si>
  <si>
    <t xml:space="preserve">Vendor payments, expense entries, fee receipts for the morning</t>
  </si>
  <si>
    <t xml:space="preserve">Receipt numbers logged</t>
  </si>
  <si>
    <t xml:space="preserve">Defaulter follow-ups (he calls them directly, not callers)</t>
  </si>
  <si>
    <t xml:space="preserve">Calls logged with response</t>
  </si>
  <si>
    <t xml:space="preserve">5:00–7:00</t>
  </si>
  <si>
    <t xml:space="preserve">Evening fee collections from working parents</t>
  </si>
  <si>
    <t xml:space="preserve">Receipts issued and logged</t>
  </si>
  <si>
    <t xml:space="preserve">7:00–7:45</t>
  </si>
  <si>
    <t xml:space="preserve">Daily cash tally; bank deposit prep if cash &gt; ₹50,000</t>
  </si>
  <si>
    <t xml:space="preserve">Cash position + bank deposit details</t>
  </si>
  <si>
    <t xml:space="preserve">7:45–8:00</t>
  </si>
  <si>
    <t xml:space="preserve">Fill 'Bawankar Log' + send WhatsApp EOD with photo of cash book</t>
  </si>
  <si>
    <t xml:space="preserve">Photo of day's cash book + summary</t>
  </si>
  <si>
    <t xml:space="preserve">8:45–10:00</t>
  </si>
  <si>
    <t xml:space="preserve">Print previous day's pending materials before classes start</t>
  </si>
  <si>
    <t xml:space="preserve">Print count noted</t>
  </si>
  <si>
    <t xml:space="preserve">Faculty acknowledgement</t>
  </si>
  <si>
    <t xml:space="preserve">10:00–1:00</t>
  </si>
  <si>
    <t xml:space="preserve">New design work — posters, leaflets, test papers from queue</t>
  </si>
  <si>
    <t xml:space="preserve">Files saved with date stamp</t>
  </si>
  <si>
    <t xml:space="preserve">Muzammil Log</t>
  </si>
  <si>
    <t xml:space="preserve">Faculty material requests (24-hr turnaround SLA)</t>
  </si>
  <si>
    <t xml:space="preserve">Pending vs delivered count</t>
  </si>
  <si>
    <t xml:space="preserve">4:00–5:30</t>
  </si>
  <si>
    <t xml:space="preserve">Print runs for next day; file organization</t>
  </si>
  <si>
    <t xml:space="preserve">Tomorrow's print stack ready</t>
  </si>
  <si>
    <t xml:space="preserve">5:30–5:45</t>
  </si>
  <si>
    <t xml:space="preserve">Fill 'Muzammil Log' + send WhatsApp EOD report</t>
  </si>
  <si>
    <t xml:space="preserve">Tasks completed + pending list</t>
  </si>
  <si>
    <t xml:space="preserve">Aarti</t>
  </si>
  <si>
    <t xml:space="preserve">10:00–10:30</t>
  </si>
  <si>
    <t xml:space="preserve">Morning prep, staff tea round</t>
  </si>
  <si>
    <t xml:space="preserve">Tea served by 10:30</t>
  </si>
  <si>
    <t xml:space="preserve">Visual / staff feedback</t>
  </si>
  <si>
    <t xml:space="preserve">10:30–12:30</t>
  </si>
  <si>
    <t xml:space="preserve">Tea rounds + serve walk-in parents within 5 min</t>
  </si>
  <si>
    <t xml:space="preserve">All visitors served</t>
  </si>
  <si>
    <t xml:space="preserve">Madhu confirmation</t>
  </si>
  <si>
    <t xml:space="preserve">12:30–2:30</t>
  </si>
  <si>
    <t xml:space="preserve">Lunch service for staff; pantry hygiene</t>
  </si>
  <si>
    <t xml:space="preserve">All staff served</t>
  </si>
  <si>
    <t xml:space="preserve">Visual</t>
  </si>
  <si>
    <t xml:space="preserve">2:30–5:00</t>
  </si>
  <si>
    <t xml:space="preserve">Afternoon tea round, pantry stocking</t>
  </si>
  <si>
    <t xml:space="preserve">Stock check noted</t>
  </si>
  <si>
    <t xml:space="preserve">5:00–8:00</t>
  </si>
  <si>
    <t xml:space="preserve">Evening tea + parent service during peak walk-ins</t>
  </si>
  <si>
    <t xml:space="preserve">Madhu/Bawankar confirmation</t>
  </si>
  <si>
    <t xml:space="preserve">Office Boy</t>
  </si>
  <si>
    <t xml:space="preserve">8:30–10:00</t>
  </si>
  <si>
    <t xml:space="preserve">Open office, clean classrooms, set up boards, ACs on</t>
  </si>
  <si>
    <t xml:space="preserve">Classrooms ready before 10:00</t>
  </si>
  <si>
    <t xml:space="preserve">Faculty check</t>
  </si>
  <si>
    <t xml:space="preserve">10:00–2:00</t>
  </si>
  <si>
    <t xml:space="preserve">Classroom support, errands (bank with Bawankar if needed)</t>
  </si>
  <si>
    <t xml:space="preserve">Tasks completed as assigned</t>
  </si>
  <si>
    <t xml:space="preserve">Daily</t>
  </si>
  <si>
    <t xml:space="preserve">Maintenance, washroom checks, classroom resets</t>
  </si>
  <si>
    <t xml:space="preserve">Visual checks</t>
  </si>
  <si>
    <t xml:space="preserve">Evening batch support, parent reception</t>
  </si>
  <si>
    <t xml:space="preserve">Smooth batch transitions</t>
  </si>
  <si>
    <t xml:space="preserve">8:00–8:30</t>
  </si>
  <si>
    <t xml:space="preserve">Closing — lock-up, switch off equipment, security check</t>
  </si>
  <si>
    <t xml:space="preserve">Closure complete</t>
  </si>
  <si>
    <t xml:space="preserve">ANJALI (CALLER) — DAILY LOG</t>
  </si>
  <si>
    <t xml:space="preserve">Fill this row daily by 6:00 PM | Director sees this live</t>
  </si>
  <si>
    <t xml:space="preserve">Dials Made</t>
  </si>
  <si>
    <t xml:space="preserve">Connects</t>
  </si>
  <si>
    <t xml:space="preserve">Connect %</t>
  </si>
  <si>
    <t xml:space="preserve">Interested Leads</t>
  </si>
  <si>
    <t xml:space="preserve">Counsellings Booked</t>
  </si>
  <si>
    <t xml:space="preserve">Follow-ups Done</t>
  </si>
  <si>
    <t xml:space="preserve">Admissions</t>
  </si>
  <si>
    <t xml:space="preserve">Issues / Blockers</t>
  </si>
  <si>
    <t xml:space="preserve">SAMIKSHA (CALLER) — DAILY LOG</t>
  </si>
  <si>
    <t xml:space="preserve">Fill this row daily by 6:45 PM | Director sees this live</t>
  </si>
  <si>
    <t xml:space="preserve">MADHU (COUNSELLOR) — DAILY LOG</t>
  </si>
  <si>
    <t xml:space="preserve">Walk-ins Today</t>
  </si>
  <si>
    <t xml:space="preserve">Scheduled Counsellings</t>
  </si>
  <si>
    <t xml:space="preserve">Total Done</t>
  </si>
  <si>
    <t xml:space="preserve">No-Shows</t>
  </si>
  <si>
    <t xml:space="preserve">Admissions Closed</t>
  </si>
  <si>
    <t xml:space="preserve">Hot Prospects for Tomorrow</t>
  </si>
  <si>
    <t xml:space="preserve">SOWMYA (MARKETING) — DAILY LOG</t>
  </si>
  <si>
    <t xml:space="preserve">Fill this row daily by 7:00 PM | Director sees this live</t>
  </si>
  <si>
    <t xml:space="preserve">Field Visits</t>
  </si>
  <si>
    <t xml:space="preserve">Posts Published</t>
  </si>
  <si>
    <t xml:space="preserve">WhatsApp Broadcasts</t>
  </si>
  <si>
    <t xml:space="preserve">Leads Generated</t>
  </si>
  <si>
    <t xml:space="preserve">Tomorrow's Plan</t>
  </si>
  <si>
    <t xml:space="preserve">Photo Proof Sent?</t>
  </si>
  <si>
    <t xml:space="preserve">BAWANKAR (FINANCE) — DAILY LOG</t>
  </si>
  <si>
    <t xml:space="preserve">Fill this row daily by 8:00 PM | Director sees this live</t>
  </si>
  <si>
    <t xml:space="preserve">Opening Cash (₹)</t>
  </si>
  <si>
    <t xml:space="preserve">Today's Collections (₹)</t>
  </si>
  <si>
    <t xml:space="preserve">Today's Expenses (₹)</t>
  </si>
  <si>
    <t xml:space="preserve">Closing Cash (₹)</t>
  </si>
  <si>
    <t xml:space="preserve">Bank Deposit (₹)</t>
  </si>
  <si>
    <t xml:space="preserve">Pending Dues Calls</t>
  </si>
  <si>
    <t xml:space="preserve">Cash Book Photo Sent?</t>
  </si>
  <si>
    <t xml:space="preserve">MUZAMMIL (DTP) — DAILY LOG</t>
  </si>
  <si>
    <t xml:space="preserve">Fill this row daily by 5:45 PM | Director sees this live</t>
  </si>
  <si>
    <t xml:space="preserve">Print Jobs Done</t>
  </si>
  <si>
    <t xml:space="preserve">New Designs Made</t>
  </si>
  <si>
    <t xml:space="preserve">Pending Faculty Requests</t>
  </si>
  <si>
    <t xml:space="preserve">Delayed &gt;24hr?</t>
  </si>
  <si>
    <t xml:space="preserve">CROSS-VERIFICATION — DO REPORTS MATCH?</t>
  </si>
  <si>
    <t xml:space="preserve">If numbers don't match, someone reported wrong. Call them and find out.</t>
  </si>
  <si>
    <t xml:space="preserve">Check</t>
  </si>
  <si>
    <t xml:space="preserve">Caller Says</t>
  </si>
  <si>
    <t xml:space="preserve">Counsellor/Finance Says</t>
  </si>
  <si>
    <t xml:space="preserve">Match?</t>
  </si>
  <si>
    <t xml:space="preserve">Difference</t>
  </si>
  <si>
    <t xml:space="preserve">Action</t>
  </si>
  <si>
    <t xml:space="preserve">Counsellings booked</t>
  </si>
  <si>
    <t xml:space="preserve">Admissions closed</t>
  </si>
  <si>
    <t xml:space="preserve">—</t>
  </si>
  <si>
    <t xml:space="preserve">RED FLAGS — INCIDENTS LOG</t>
  </si>
  <si>
    <t xml:space="preserve">Any deviation, approval need, or unusual event logged here. Director reviews 9 PM.</t>
  </si>
  <si>
    <t xml:space="preserve">Date/Time</t>
  </si>
  <si>
    <t xml:space="preserve">Reported By</t>
  </si>
  <si>
    <t xml:space="preserve">Category</t>
  </si>
  <si>
    <t xml:space="preserve">Description</t>
  </si>
  <si>
    <t xml:space="preserve">Status</t>
  </si>
  <si>
    <t xml:space="preserve">Director's Decision</t>
  </si>
  <si>
    <t xml:space="preserve">REMOTE MANAGEMENT TRACKER — HOW TO USE</t>
  </si>
  <si>
    <t xml:space="preserve">For Director's leave period: 25 May – 5 June 2026</t>
  </si>
  <si>
    <t xml:space="preserve">FOR DIRECTOR (YOU)</t>
  </si>
  <si>
    <t xml:space="preserve">Daily routine</t>
  </si>
  <si>
    <t xml:space="preserve">9:00 PM IST — open Director Dashboard. 15 minutes max.</t>
  </si>
  <si>
    <t xml:space="preserve">Step 1 — Compliance check</t>
  </si>
  <si>
    <t xml:space="preserve">Look at 'Day-wise Compliance' grid. All 6 ticks for today? If not, call missing person.</t>
  </si>
  <si>
    <t xml:space="preserve">Step 2 — Cross-verify</t>
  </si>
  <si>
    <t xml:space="preserve">Check 'Cross-Verify Issues' count on dashboard. If &gt;0, open the sheet and ask both people for the truth.</t>
  </si>
  <si>
    <t xml:space="preserve">Step 3 — Red flags</t>
  </si>
  <si>
    <t xml:space="preserve">Check 'Action Required From You' panel. Approve/reject pending items via WhatsApp.</t>
  </si>
  <si>
    <t xml:space="preserve">Step 4 — Lead pipeline</t>
  </si>
  <si>
    <t xml:space="preserve">Open separate Lead Tracker sheet. Note stale leads. Push specific caller next morning.</t>
  </si>
  <si>
    <t xml:space="preserve">FOR STAFF — DAILY EOD ROUTINE</t>
  </si>
  <si>
    <t xml:space="preserve">Fill 'Anjali Log' row for today by 6:00 PM. Send WhatsApp using your template card by 6:05 PM.</t>
  </si>
  <si>
    <t xml:space="preserve">Fill 'Samiksha Log' by 6:45 PM. WhatsApp by 6:50 PM.</t>
  </si>
  <si>
    <t xml:space="preserve">Fill 'Madhu Log' by 6:45 PM. WhatsApp by 6:50 PM.</t>
  </si>
  <si>
    <t xml:space="preserve">Fill 'Sowmya Log' by 7:00 PM. WhatsApp by 7:05 PM with photo proof of field visits.</t>
  </si>
  <si>
    <t xml:space="preserve">Fill 'Bawankar Log' by 8:00 PM. WhatsApp by 8:05 PM WITH PHOTO of cash book.</t>
  </si>
  <si>
    <t xml:space="preserve">Fill 'Muzammil Log' by 5:45 PM. WhatsApp by 5:50 PM.</t>
  </si>
  <si>
    <t xml:space="preserve">RULES — NON-NEGOTIABLE DURING LEAVE</t>
  </si>
  <si>
    <t xml:space="preserve">Rule 1</t>
  </si>
  <si>
    <t xml:space="preserve">Daily Log entries are mandatory. Missed entry = phone call from Director the next morning.</t>
  </si>
  <si>
    <t xml:space="preserve">Rule 2</t>
  </si>
  <si>
    <t xml:space="preserve">No fee waiver, refund, or discount commitment without Director's written WhatsApp approval.</t>
  </si>
  <si>
    <t xml:space="preserve">Rule 3</t>
  </si>
  <si>
    <t xml:space="preserve">No staff leave to be granted (except medical emergency) without Director's approval.</t>
  </si>
  <si>
    <t xml:space="preserve">Rule 4</t>
  </si>
  <si>
    <t xml:space="preserve">Cash position &gt; ₹50,000 must be deposited same day. Photo of deposit slip to Director.</t>
  </si>
  <si>
    <t xml:space="preserve">Rule 5</t>
  </si>
  <si>
    <t xml:space="preserve">Any unknown visitor (media, govt, vendor enquiry) — politely defer to Director's return. Note in Red Flags.</t>
  </si>
  <si>
    <t xml:space="preserve">Rule 6</t>
  </si>
  <si>
    <t xml:space="preserve">Parent complaints — Madhu handles politely, logs in Red Flags, escalates to Director if not resolved in 30 min.</t>
  </si>
  <si>
    <t xml:space="preserve">Rule 7</t>
  </si>
  <si>
    <t xml:space="preserve">Daily Tasks sheet defines the day. No 'mood-based' deviations. Any deviation needs Director's approval first.</t>
  </si>
  <si>
    <t xml:space="preserve">CROSS-VERIFY EXPLAINED</t>
  </si>
  <si>
    <t xml:space="preserve">What it does</t>
  </si>
  <si>
    <t xml:space="preserve">Auto-checks if numbers reported by different people on the same day actually match.</t>
  </si>
  <si>
    <t xml:space="preserve">Example 1</t>
  </si>
  <si>
    <t xml:space="preserve">Anjali says she booked 3 counsellings. Madhu's log says she had 2 scheduled counsellings. MISMATCH — someone is wrong.</t>
  </si>
  <si>
    <t xml:space="preserve">Example 2</t>
  </si>
  <si>
    <t xml:space="preserve">Madhu says 2 admissions closed today. Bawankar's collection says ₹0. MISMATCH — either no cash received OR Madhu is overstating.</t>
  </si>
  <si>
    <t xml:space="preserve">Why it matters</t>
  </si>
  <si>
    <t xml:space="preserve">It's mathematically impossible for both reports to be honest if numbers don't match. This catches both errors and inflation.</t>
  </si>
  <si>
    <t xml:space="preserve">EMERGENCY ESCALATION</t>
  </si>
  <si>
    <t xml:space="preserve">Call Director immediately for</t>
  </si>
  <si>
    <t xml:space="preserve">Medical emergency, fire/safety, police visit, large cash discrepancy (&gt;₹10K), parent threat, faculty walkout.</t>
  </si>
  <si>
    <t xml:space="preserve">WhatsApp Director within 1 hour for</t>
  </si>
  <si>
    <t xml:space="preserve">Unknown visitor, refund demand, fee waiver request, complaint, IT failure affecting classes.</t>
  </si>
  <si>
    <t xml:space="preserve">Log in Red Flags + handle yourself</t>
  </si>
  <si>
    <t xml:space="preserve">Routine delays, minor parent grievances, small expenses (&lt;₹5,000), Muzammil/Aarti issues.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</si>
</sst>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\₹#,##0"/>
    <numFmt numFmtId="167" formatCode="General"/>
    <numFmt numFmtId="168" formatCode="dd\-mmm\-yyyy"/>
    <numFmt numFmtId="169" formatCode="dd\-mmm\-yyyy&quot; (&quot;ddd\)"/>
    <numFmt numFmtId="170" formatCode="0.0%"/>
    <numFmt numFmtId="171" formatCode="dd\-mmm&quot; (&quot;ddd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0B1F3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B1F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B1F3A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i val="true"/>
      <sz val="10"/>
      <color rgb="FF0B1F3A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B1F3A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B1F3A"/>
        <bgColor rgb="FF081530"/>
      </patternFill>
    </fill>
    <fill>
      <patternFill patternType="solid">
        <fgColor rgb="FFF4E5B8"/>
        <bgColor rgb="FFFCE4EC"/>
      </patternFill>
    </fill>
    <fill>
      <patternFill patternType="solid">
        <fgColor rgb="FF081530"/>
        <bgColor rgb="FF0B1F3A"/>
      </patternFill>
    </fill>
    <fill>
      <patternFill patternType="solid">
        <fgColor rgb="FFFAF6EC"/>
        <bgColor rgb="FFF1F8E9"/>
      </patternFill>
    </fill>
    <fill>
      <patternFill patternType="solid">
        <fgColor rgb="FFFFFFFF"/>
        <bgColor rgb="FFFAF6EC"/>
      </patternFill>
    </fill>
    <fill>
      <patternFill patternType="solid">
        <fgColor rgb="FFE67E22"/>
        <bgColor rgb="FFF39C12"/>
      </patternFill>
    </fill>
    <fill>
      <patternFill patternType="solid">
        <fgColor rgb="FFE3F2FD"/>
        <bgColor rgb="FFECEFF1"/>
      </patternFill>
    </fill>
    <fill>
      <patternFill patternType="solid">
        <fgColor rgb="FFC0392B"/>
        <bgColor rgb="FFB71C1C"/>
      </patternFill>
    </fill>
    <fill>
      <patternFill patternType="solid">
        <fgColor rgb="FFF3E5F5"/>
        <bgColor rgb="FFFCE4EC"/>
      </patternFill>
    </fill>
    <fill>
      <patternFill patternType="solid">
        <fgColor rgb="FFFFF3E0"/>
        <bgColor rgb="FFFAF6EC"/>
      </patternFill>
    </fill>
    <fill>
      <patternFill patternType="solid">
        <fgColor rgb="FFE8F5E9"/>
        <bgColor rgb="FFF1F8E9"/>
      </patternFill>
    </fill>
    <fill>
      <patternFill patternType="solid">
        <fgColor rgb="FFF39C12"/>
        <bgColor rgb="FFE67E22"/>
      </patternFill>
    </fill>
    <fill>
      <patternFill patternType="solid">
        <fgColor rgb="FFFFEBEE"/>
        <bgColor rgb="FFFCE4EC"/>
      </patternFill>
    </fill>
    <fill>
      <patternFill patternType="solid">
        <fgColor rgb="FFF1F8E9"/>
        <bgColor rgb="FFFAF6EC"/>
      </patternFill>
    </fill>
    <fill>
      <patternFill patternType="solid">
        <fgColor rgb="FFFCE4EC"/>
        <bgColor rgb="FFFFEBEE"/>
      </patternFill>
    </fill>
    <fill>
      <patternFill patternType="solid">
        <fgColor rgb="FFECEFF1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11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1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1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1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1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name val="Arial"/>
        <charset val="1"/>
        <family val="0"/>
        <b val="1"/>
        <color rgb="FF1B5E20"/>
        <sz val="14"/>
      </font>
      <fill>
        <patternFill>
          <bgColor rgb="FF81C784"/>
        </patternFill>
      </fill>
    </dxf>
    <dxf>
      <font>
        <name val="Arial"/>
        <charset val="1"/>
        <family val="0"/>
        <b val="1"/>
        <color rgb="FFB71C1C"/>
        <sz val="14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1B5E20"/>
        <sz val="12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CDD2"/>
        </patternFill>
      </fill>
    </dxf>
    <dxf>
      <fill>
        <patternFill patternType="solid">
          <fgColor rgb="FF0B1F3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F39C12"/>
          <bgColor rgb="FF000000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E082"/>
        </patternFill>
      </fill>
    </dxf>
    <dxf>
      <fill>
        <patternFill patternType="solid">
          <fgColor rgb="FFFAF6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808080"/>
      <rgbColor rgb="FF9999FF"/>
      <rgbColor rgb="FFC0392B"/>
      <rgbColor rgb="FFFFF3E0"/>
      <rgbColor rgb="FFE3F2FD"/>
      <rgbColor rgb="FF660066"/>
      <rgbColor rgb="FFE67E22"/>
      <rgbColor rgb="FF0066CC"/>
      <rgbColor rgb="FFF3E5F5"/>
      <rgbColor rgb="FF000080"/>
      <rgbColor rgb="FFFF00FF"/>
      <rgbColor rgb="FFFAF6EC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4E5B8"/>
      <rgbColor rgb="FFECEFF1"/>
      <rgbColor rgb="FFFFCDD2"/>
      <rgbColor rgb="FFFCE4EC"/>
      <rgbColor rgb="FFFFE082"/>
      <rgbColor rgb="FF3366FF"/>
      <rgbColor rgb="FF33CCCC"/>
      <rgbColor rgb="FF99CC00"/>
      <rgbColor rgb="FFFFEBEE"/>
      <rgbColor rgb="FFF39C12"/>
      <rgbColor rgb="FFE65100"/>
      <rgbColor rgb="FF666699"/>
      <rgbColor rgb="FF81C784"/>
      <rgbColor rgb="FF0B1F3A"/>
      <rgbColor rgb="FF339966"/>
      <rgbColor rgb="FF08153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8" min="7" style="1" width="11"/>
    <col collapsed="false" customWidth="true" hidden="false" outlineLevel="0" max="9" min="9" style="1" width="9"/>
    <col collapsed="false" customWidth="true" hidden="false" outlineLevel="0" max="10" min="10" style="1" width="2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customFormat="false" ht="36" hidden="false" customHeight="true" outlineLevel="0" collapsed="false">
      <c r="A7" s="6" t="str">
        <f aca="true">TEXT(TODAY(),"dd-mmm (ddd)")</f>
        <v>20-May (Wed)</v>
      </c>
      <c r="B7" s="6" t="n">
        <f aca="false">COUNTA('Anjali Log'!B4:B15)+COUNTA('Samiksha Log'!B4:B15)+COUNTA('Madhu Log'!B4:B15)+COUNTA('Sowmya Log'!B4:B15)+COUNTA('Bawankar Log'!B4:B15)+COUNTA('Muzammil Log'!B4:B15)</f>
        <v>0</v>
      </c>
      <c r="C7" s="6" t="n">
        <f aca="true">6*MAX(1,MIN(12,TODAY()-DATE(2026,5,24)))</f>
        <v>6</v>
      </c>
      <c r="D7" s="7" t="n">
        <f aca="false">IFERROR(B7/C7,0)</f>
        <v>0</v>
      </c>
      <c r="E7" s="6" t="n">
        <f aca="true">IFERROR(VLOOKUP(TODAY(),'Sowmya Log'!A:E,5,FALSE()),0)</f>
        <v>0</v>
      </c>
      <c r="F7" s="6" t="n">
        <f aca="true">IFERROR(VLOOKUP(TODAY(),'Madhu Log'!A:D,4,FALSE()),0)</f>
        <v>0</v>
      </c>
      <c r="G7" s="6" t="n">
        <f aca="true">IFERROR(VLOOKUP(TODAY(),'Madhu Log'!A:F,6,FALSE()),0)</f>
        <v>0</v>
      </c>
      <c r="H7" s="8" t="n">
        <f aca="true">IFERROR(VLOOKUP(TODAY(),'Bawankar Log'!A:C,3,FALSE()),0)</f>
        <v>0</v>
      </c>
      <c r="I7" s="9" t="n">
        <f aca="false">COUNTIF('Red Flags'!E4:E50,"Open")</f>
        <v>0</v>
      </c>
      <c r="J7" s="9" t="n">
        <f aca="false">SUMPRODUCT((LEFT('Cross-Verify'!E4:E27,1)="✗")*1)</f>
        <v>0</v>
      </c>
    </row>
    <row r="9" customFormat="false" ht="21.75" hidden="false" customHeight="true" outlineLevel="0" collapsed="false">
      <c r="A9" s="4" t="s">
        <v>13</v>
      </c>
      <c r="B9" s="4"/>
      <c r="C9" s="4"/>
      <c r="D9" s="4"/>
      <c r="E9" s="4"/>
      <c r="F9" s="4"/>
      <c r="G9" s="4"/>
      <c r="H9" s="4"/>
      <c r="I9" s="4"/>
      <c r="J9" s="4"/>
    </row>
    <row r="10" customFormat="false" ht="27.75" hidden="false" customHeight="true" outlineLevel="0" collapsed="false">
      <c r="A10" s="10" t="s">
        <v>14</v>
      </c>
      <c r="B10" s="10" t="s">
        <v>15</v>
      </c>
      <c r="C10" s="10" t="s">
        <v>16</v>
      </c>
      <c r="D10" s="10" t="s">
        <v>17</v>
      </c>
      <c r="E10" s="10" t="s">
        <v>18</v>
      </c>
      <c r="F10" s="10" t="s">
        <v>19</v>
      </c>
      <c r="G10" s="10" t="s">
        <v>20</v>
      </c>
      <c r="H10" s="10" t="s">
        <v>21</v>
      </c>
      <c r="I10" s="10" t="s">
        <v>22</v>
      </c>
      <c r="J10" s="10" t="s">
        <v>23</v>
      </c>
    </row>
    <row r="11" customFormat="false" ht="21.75" hidden="false" customHeight="true" outlineLevel="0" collapsed="false">
      <c r="A11" s="11" t="n">
        <v>46167</v>
      </c>
      <c r="B11" s="12" t="s">
        <v>24</v>
      </c>
      <c r="C11" s="12" t="str">
        <f aca="false">IF(COUNTIF('Anjali Log'!B4:B25,A11)&gt;0,"✓","")</f>
        <v/>
      </c>
      <c r="D11" s="12" t="str">
        <f aca="false">IF(COUNTIF('Samiksha Log'!B4:B25,A11)&gt;0,"✓","")</f>
        <v/>
      </c>
      <c r="E11" s="12" t="str">
        <f aca="false">IF(COUNTIF('Madhu Log'!B4:B25,A11)&gt;0,"✓","")</f>
        <v/>
      </c>
      <c r="F11" s="12" t="str">
        <f aca="false">IF(COUNTIF('Sowmya Log'!B4:B25,A11)&gt;0,"✓","")</f>
        <v/>
      </c>
      <c r="G11" s="12" t="str">
        <f aca="false">IF(COUNTIF('Bawankar Log'!B4:B25,A11)&gt;0,"✓","")</f>
        <v/>
      </c>
      <c r="H11" s="12" t="str">
        <f aca="false">IF(COUNTIF('Muzammil Log'!B4:B25,A11)&gt;0,"✓","")</f>
        <v/>
      </c>
      <c r="I11" s="12" t="str">
        <f aca="false">COUNTIF(C11:H11,"✓")&amp;"/6"</f>
        <v>0/6</v>
      </c>
      <c r="J11" s="12"/>
    </row>
    <row r="12" customFormat="false" ht="21.75" hidden="false" customHeight="true" outlineLevel="0" collapsed="false">
      <c r="A12" s="13" t="n">
        <v>46168</v>
      </c>
      <c r="B12" s="14" t="s">
        <v>25</v>
      </c>
      <c r="C12" s="14" t="str">
        <f aca="false">IF(COUNTIF('Anjali Log'!B4:B25,A12)&gt;0,"✓","")</f>
        <v/>
      </c>
      <c r="D12" s="14" t="str">
        <f aca="false">IF(COUNTIF('Samiksha Log'!B4:B25,A12)&gt;0,"✓","")</f>
        <v/>
      </c>
      <c r="E12" s="14" t="str">
        <f aca="false">IF(COUNTIF('Madhu Log'!B4:B25,A12)&gt;0,"✓","")</f>
        <v/>
      </c>
      <c r="F12" s="14" t="str">
        <f aca="false">IF(COUNTIF('Sowmya Log'!B4:B25,A12)&gt;0,"✓","")</f>
        <v/>
      </c>
      <c r="G12" s="14" t="str">
        <f aca="false">IF(COUNTIF('Bawankar Log'!B4:B25,A12)&gt;0,"✓","")</f>
        <v/>
      </c>
      <c r="H12" s="14" t="str">
        <f aca="false">IF(COUNTIF('Muzammil Log'!B4:B25,A12)&gt;0,"✓","")</f>
        <v/>
      </c>
      <c r="I12" s="14" t="str">
        <f aca="false">COUNTIF(C12:H12,"✓")&amp;"/6"</f>
        <v>0/6</v>
      </c>
      <c r="J12" s="14"/>
    </row>
    <row r="13" customFormat="false" ht="21.75" hidden="false" customHeight="true" outlineLevel="0" collapsed="false">
      <c r="A13" s="11" t="n">
        <v>46169</v>
      </c>
      <c r="B13" s="12" t="s">
        <v>26</v>
      </c>
      <c r="C13" s="12" t="str">
        <f aca="false">IF(COUNTIF('Anjali Log'!B4:B25,A13)&gt;0,"✓","")</f>
        <v/>
      </c>
      <c r="D13" s="12" t="str">
        <f aca="false">IF(COUNTIF('Samiksha Log'!B4:B25,A13)&gt;0,"✓","")</f>
        <v/>
      </c>
      <c r="E13" s="12" t="str">
        <f aca="false">IF(COUNTIF('Madhu Log'!B4:B25,A13)&gt;0,"✓","")</f>
        <v/>
      </c>
      <c r="F13" s="12" t="str">
        <f aca="false">IF(COUNTIF('Sowmya Log'!B4:B25,A13)&gt;0,"✓","")</f>
        <v/>
      </c>
      <c r="G13" s="12" t="str">
        <f aca="false">IF(COUNTIF('Bawankar Log'!B4:B25,A13)&gt;0,"✓","")</f>
        <v/>
      </c>
      <c r="H13" s="12" t="str">
        <f aca="false">IF(COUNTIF('Muzammil Log'!B4:B25,A13)&gt;0,"✓","")</f>
        <v/>
      </c>
      <c r="I13" s="12" t="str">
        <f aca="false">COUNTIF(C13:H13,"✓")&amp;"/6"</f>
        <v>0/6</v>
      </c>
      <c r="J13" s="12"/>
    </row>
    <row r="14" customFormat="false" ht="21.75" hidden="false" customHeight="true" outlineLevel="0" collapsed="false">
      <c r="A14" s="13" t="n">
        <v>46170</v>
      </c>
      <c r="B14" s="14" t="s">
        <v>27</v>
      </c>
      <c r="C14" s="14" t="str">
        <f aca="false">IF(COUNTIF('Anjali Log'!B4:B25,A14)&gt;0,"✓","")</f>
        <v/>
      </c>
      <c r="D14" s="14" t="str">
        <f aca="false">IF(COUNTIF('Samiksha Log'!B4:B25,A14)&gt;0,"✓","")</f>
        <v/>
      </c>
      <c r="E14" s="14" t="str">
        <f aca="false">IF(COUNTIF('Madhu Log'!B4:B25,A14)&gt;0,"✓","")</f>
        <v/>
      </c>
      <c r="F14" s="14" t="str">
        <f aca="false">IF(COUNTIF('Sowmya Log'!B4:B25,A14)&gt;0,"✓","")</f>
        <v/>
      </c>
      <c r="G14" s="14" t="str">
        <f aca="false">IF(COUNTIF('Bawankar Log'!B4:B25,A14)&gt;0,"✓","")</f>
        <v/>
      </c>
      <c r="H14" s="14" t="str">
        <f aca="false">IF(COUNTIF('Muzammil Log'!B4:B25,A14)&gt;0,"✓","")</f>
        <v/>
      </c>
      <c r="I14" s="14" t="str">
        <f aca="false">COUNTIF(C14:H14,"✓")&amp;"/6"</f>
        <v>0/6</v>
      </c>
      <c r="J14" s="14"/>
    </row>
    <row r="15" customFormat="false" ht="21.75" hidden="false" customHeight="true" outlineLevel="0" collapsed="false">
      <c r="A15" s="11" t="n">
        <v>46171</v>
      </c>
      <c r="B15" s="12" t="s">
        <v>28</v>
      </c>
      <c r="C15" s="12" t="str">
        <f aca="false">IF(COUNTIF('Anjali Log'!B4:B25,A15)&gt;0,"✓","")</f>
        <v/>
      </c>
      <c r="D15" s="12" t="str">
        <f aca="false">IF(COUNTIF('Samiksha Log'!B4:B25,A15)&gt;0,"✓","")</f>
        <v/>
      </c>
      <c r="E15" s="12" t="str">
        <f aca="false">IF(COUNTIF('Madhu Log'!B4:B25,A15)&gt;0,"✓","")</f>
        <v/>
      </c>
      <c r="F15" s="12" t="str">
        <f aca="false">IF(COUNTIF('Sowmya Log'!B4:B25,A15)&gt;0,"✓","")</f>
        <v/>
      </c>
      <c r="G15" s="12" t="str">
        <f aca="false">IF(COUNTIF('Bawankar Log'!B4:B25,A15)&gt;0,"✓","")</f>
        <v/>
      </c>
      <c r="H15" s="12" t="str">
        <f aca="false">IF(COUNTIF('Muzammil Log'!B4:B25,A15)&gt;0,"✓","")</f>
        <v/>
      </c>
      <c r="I15" s="12" t="str">
        <f aca="false">COUNTIF(C15:H15,"✓")&amp;"/6"</f>
        <v>0/6</v>
      </c>
      <c r="J15" s="12"/>
    </row>
    <row r="16" customFormat="false" ht="21.75" hidden="false" customHeight="true" outlineLevel="0" collapsed="false">
      <c r="A16" s="13" t="n">
        <v>46172</v>
      </c>
      <c r="B16" s="14" t="s">
        <v>29</v>
      </c>
      <c r="C16" s="14" t="str">
        <f aca="false">IF(COUNTIF('Anjali Log'!B4:B25,A16)&gt;0,"✓","")</f>
        <v/>
      </c>
      <c r="D16" s="14" t="str">
        <f aca="false">IF(COUNTIF('Samiksha Log'!B4:B25,A16)&gt;0,"✓","")</f>
        <v/>
      </c>
      <c r="E16" s="14" t="str">
        <f aca="false">IF(COUNTIF('Madhu Log'!B4:B25,A16)&gt;0,"✓","")</f>
        <v/>
      </c>
      <c r="F16" s="14" t="str">
        <f aca="false">IF(COUNTIF('Sowmya Log'!B4:B25,A16)&gt;0,"✓","")</f>
        <v/>
      </c>
      <c r="G16" s="14" t="str">
        <f aca="false">IF(COUNTIF('Bawankar Log'!B4:B25,A16)&gt;0,"✓","")</f>
        <v/>
      </c>
      <c r="H16" s="14" t="str">
        <f aca="false">IF(COUNTIF('Muzammil Log'!B4:B25,A16)&gt;0,"✓","")</f>
        <v/>
      </c>
      <c r="I16" s="14" t="str">
        <f aca="false">COUNTIF(C16:H16,"✓")&amp;"/6"</f>
        <v>0/6</v>
      </c>
      <c r="J16" s="14"/>
    </row>
    <row r="17" customFormat="false" ht="21.75" hidden="false" customHeight="true" outlineLevel="0" collapsed="false">
      <c r="A17" s="11" t="n">
        <v>46173</v>
      </c>
      <c r="B17" s="12" t="s">
        <v>30</v>
      </c>
      <c r="C17" s="12" t="str">
        <f aca="false">IF(COUNTIF('Anjali Log'!B4:B25,A17)&gt;0,"✓","")</f>
        <v/>
      </c>
      <c r="D17" s="12" t="str">
        <f aca="false">IF(COUNTIF('Samiksha Log'!B4:B25,A17)&gt;0,"✓","")</f>
        <v/>
      </c>
      <c r="E17" s="12" t="str">
        <f aca="false">IF(COUNTIF('Madhu Log'!B4:B25,A17)&gt;0,"✓","")</f>
        <v/>
      </c>
      <c r="F17" s="12" t="str">
        <f aca="false">IF(COUNTIF('Sowmya Log'!B4:B25,A17)&gt;0,"✓","")</f>
        <v/>
      </c>
      <c r="G17" s="12" t="str">
        <f aca="false">IF(COUNTIF('Bawankar Log'!B4:B25,A17)&gt;0,"✓","")</f>
        <v/>
      </c>
      <c r="H17" s="12" t="str">
        <f aca="false">IF(COUNTIF('Muzammil Log'!B4:B25,A17)&gt;0,"✓","")</f>
        <v/>
      </c>
      <c r="I17" s="12" t="str">
        <f aca="false">COUNTIF(C17:H17,"✓")&amp;"/6"</f>
        <v>0/6</v>
      </c>
      <c r="J17" s="12"/>
    </row>
    <row r="18" customFormat="false" ht="21.75" hidden="false" customHeight="true" outlineLevel="0" collapsed="false">
      <c r="A18" s="13" t="n">
        <v>46174</v>
      </c>
      <c r="B18" s="14" t="s">
        <v>24</v>
      </c>
      <c r="C18" s="14" t="str">
        <f aca="false">IF(COUNTIF('Anjali Log'!B4:B25,A18)&gt;0,"✓","")</f>
        <v/>
      </c>
      <c r="D18" s="14" t="str">
        <f aca="false">IF(COUNTIF('Samiksha Log'!B4:B25,A18)&gt;0,"✓","")</f>
        <v/>
      </c>
      <c r="E18" s="14" t="str">
        <f aca="false">IF(COUNTIF('Madhu Log'!B4:B25,A18)&gt;0,"✓","")</f>
        <v/>
      </c>
      <c r="F18" s="14" t="str">
        <f aca="false">IF(COUNTIF('Sowmya Log'!B4:B25,A18)&gt;0,"✓","")</f>
        <v/>
      </c>
      <c r="G18" s="14" t="str">
        <f aca="false">IF(COUNTIF('Bawankar Log'!B4:B25,A18)&gt;0,"✓","")</f>
        <v/>
      </c>
      <c r="H18" s="14" t="str">
        <f aca="false">IF(COUNTIF('Muzammil Log'!B4:B25,A18)&gt;0,"✓","")</f>
        <v/>
      </c>
      <c r="I18" s="14" t="str">
        <f aca="false">COUNTIF(C18:H18,"✓")&amp;"/6"</f>
        <v>0/6</v>
      </c>
      <c r="J18" s="14"/>
    </row>
    <row r="19" customFormat="false" ht="21.75" hidden="false" customHeight="true" outlineLevel="0" collapsed="false">
      <c r="A19" s="11" t="n">
        <v>46175</v>
      </c>
      <c r="B19" s="12" t="s">
        <v>25</v>
      </c>
      <c r="C19" s="12" t="str">
        <f aca="false">IF(COUNTIF('Anjali Log'!B4:B25,A19)&gt;0,"✓","")</f>
        <v/>
      </c>
      <c r="D19" s="12" t="str">
        <f aca="false">IF(COUNTIF('Samiksha Log'!B4:B25,A19)&gt;0,"✓","")</f>
        <v/>
      </c>
      <c r="E19" s="12" t="str">
        <f aca="false">IF(COUNTIF('Madhu Log'!B4:B25,A19)&gt;0,"✓","")</f>
        <v/>
      </c>
      <c r="F19" s="12" t="str">
        <f aca="false">IF(COUNTIF('Sowmya Log'!B4:B25,A19)&gt;0,"✓","")</f>
        <v/>
      </c>
      <c r="G19" s="12" t="str">
        <f aca="false">IF(COUNTIF('Bawankar Log'!B4:B25,A19)&gt;0,"✓","")</f>
        <v/>
      </c>
      <c r="H19" s="12" t="str">
        <f aca="false">IF(COUNTIF('Muzammil Log'!B4:B25,A19)&gt;0,"✓","")</f>
        <v/>
      </c>
      <c r="I19" s="12" t="str">
        <f aca="false">COUNTIF(C19:H19,"✓")&amp;"/6"</f>
        <v>0/6</v>
      </c>
      <c r="J19" s="12"/>
    </row>
    <row r="20" customFormat="false" ht="21.75" hidden="false" customHeight="true" outlineLevel="0" collapsed="false">
      <c r="A20" s="13" t="n">
        <v>46176</v>
      </c>
      <c r="B20" s="14" t="s">
        <v>26</v>
      </c>
      <c r="C20" s="14" t="str">
        <f aca="false">IF(COUNTIF('Anjali Log'!B4:B25,A20)&gt;0,"✓","")</f>
        <v/>
      </c>
      <c r="D20" s="14" t="str">
        <f aca="false">IF(COUNTIF('Samiksha Log'!B4:B25,A20)&gt;0,"✓","")</f>
        <v/>
      </c>
      <c r="E20" s="14" t="str">
        <f aca="false">IF(COUNTIF('Madhu Log'!B4:B25,A20)&gt;0,"✓","")</f>
        <v/>
      </c>
      <c r="F20" s="14" t="str">
        <f aca="false">IF(COUNTIF('Sowmya Log'!B4:B25,A20)&gt;0,"✓","")</f>
        <v/>
      </c>
      <c r="G20" s="14" t="str">
        <f aca="false">IF(COUNTIF('Bawankar Log'!B4:B25,A20)&gt;0,"✓","")</f>
        <v/>
      </c>
      <c r="H20" s="14" t="str">
        <f aca="false">IF(COUNTIF('Muzammil Log'!B4:B25,A20)&gt;0,"✓","")</f>
        <v/>
      </c>
      <c r="I20" s="14" t="str">
        <f aca="false">COUNTIF(C20:H20,"✓")&amp;"/6"</f>
        <v>0/6</v>
      </c>
      <c r="J20" s="14"/>
    </row>
    <row r="21" customFormat="false" ht="21.75" hidden="false" customHeight="true" outlineLevel="0" collapsed="false">
      <c r="A21" s="11" t="n">
        <v>46177</v>
      </c>
      <c r="B21" s="12" t="s">
        <v>27</v>
      </c>
      <c r="C21" s="12" t="str">
        <f aca="false">IF(COUNTIF('Anjali Log'!B4:B25,A21)&gt;0,"✓","")</f>
        <v/>
      </c>
      <c r="D21" s="12" t="str">
        <f aca="false">IF(COUNTIF('Samiksha Log'!B4:B25,A21)&gt;0,"✓","")</f>
        <v/>
      </c>
      <c r="E21" s="12" t="str">
        <f aca="false">IF(COUNTIF('Madhu Log'!B4:B25,A21)&gt;0,"✓","")</f>
        <v/>
      </c>
      <c r="F21" s="12" t="str">
        <f aca="false">IF(COUNTIF('Sowmya Log'!B4:B25,A21)&gt;0,"✓","")</f>
        <v/>
      </c>
      <c r="G21" s="12" t="str">
        <f aca="false">IF(COUNTIF('Bawankar Log'!B4:B25,A21)&gt;0,"✓","")</f>
        <v/>
      </c>
      <c r="H21" s="12" t="str">
        <f aca="false">IF(COUNTIF('Muzammil Log'!B4:B25,A21)&gt;0,"✓","")</f>
        <v/>
      </c>
      <c r="I21" s="12" t="str">
        <f aca="false">COUNTIF(C21:H21,"✓")&amp;"/6"</f>
        <v>0/6</v>
      </c>
      <c r="J21" s="12"/>
    </row>
    <row r="22" customFormat="false" ht="21.75" hidden="false" customHeight="true" outlineLevel="0" collapsed="false">
      <c r="A22" s="13" t="n">
        <v>46178</v>
      </c>
      <c r="B22" s="14" t="s">
        <v>28</v>
      </c>
      <c r="C22" s="14" t="str">
        <f aca="false">IF(COUNTIF('Anjali Log'!B4:B25,A22)&gt;0,"✓","")</f>
        <v/>
      </c>
      <c r="D22" s="14" t="str">
        <f aca="false">IF(COUNTIF('Samiksha Log'!B4:B25,A22)&gt;0,"✓","")</f>
        <v/>
      </c>
      <c r="E22" s="14" t="str">
        <f aca="false">IF(COUNTIF('Madhu Log'!B4:B25,A22)&gt;0,"✓","")</f>
        <v/>
      </c>
      <c r="F22" s="14" t="str">
        <f aca="false">IF(COUNTIF('Sowmya Log'!B4:B25,A22)&gt;0,"✓","")</f>
        <v/>
      </c>
      <c r="G22" s="14" t="str">
        <f aca="false">IF(COUNTIF('Bawankar Log'!B4:B25,A22)&gt;0,"✓","")</f>
        <v/>
      </c>
      <c r="H22" s="14" t="str">
        <f aca="false">IF(COUNTIF('Muzammil Log'!B4:B25,A22)&gt;0,"✓","")</f>
        <v/>
      </c>
      <c r="I22" s="14" t="str">
        <f aca="false">COUNTIF(C22:H22,"✓")&amp;"/6"</f>
        <v>0/6</v>
      </c>
      <c r="J22" s="14"/>
    </row>
    <row r="24" customFormat="false" ht="21.75" hidden="false" customHeight="true" outlineLevel="0" collapsed="false">
      <c r="A24" s="15" t="s">
        <v>31</v>
      </c>
      <c r="B24" s="15"/>
      <c r="C24" s="15"/>
      <c r="D24" s="15"/>
      <c r="E24" s="15"/>
      <c r="F24" s="15"/>
      <c r="G24" s="15"/>
      <c r="H24" s="15"/>
      <c r="I24" s="15"/>
      <c r="J24" s="15"/>
    </row>
    <row r="25" customFormat="false" ht="25.5" hidden="false" customHeight="true" outlineLevel="0" collapsed="false">
      <c r="A25" s="16" t="s">
        <v>32</v>
      </c>
      <c r="B25" s="16"/>
      <c r="C25" s="16"/>
      <c r="D25" s="16"/>
      <c r="E25" s="16"/>
      <c r="F25" s="16"/>
      <c r="G25" s="16"/>
      <c r="H25" s="17" t="str">
        <f aca="false">IF(D7&lt;1,"YES — Check Day-wise grid above","All submitted")</f>
        <v>YES — Check Day-wise grid above</v>
      </c>
      <c r="I25" s="17"/>
      <c r="J25" s="17"/>
    </row>
    <row r="26" customFormat="false" ht="25.5" hidden="false" customHeight="true" outlineLevel="0" collapsed="false">
      <c r="A26" s="16" t="s">
        <v>33</v>
      </c>
      <c r="B26" s="16"/>
      <c r="C26" s="16"/>
      <c r="D26" s="16"/>
      <c r="E26" s="16"/>
      <c r="F26" s="16"/>
      <c r="G26" s="16"/>
      <c r="H26" s="17" t="n">
        <f aca="false">COUNTIF('Red Flags'!E4:E50,"Awaiting Director")</f>
        <v>0</v>
      </c>
      <c r="I26" s="17"/>
      <c r="J26" s="17"/>
    </row>
    <row r="27" customFormat="false" ht="25.5" hidden="false" customHeight="true" outlineLevel="0" collapsed="false">
      <c r="A27" s="16" t="s">
        <v>34</v>
      </c>
      <c r="B27" s="16"/>
      <c r="C27" s="16"/>
      <c r="D27" s="16"/>
      <c r="E27" s="16"/>
      <c r="F27" s="16"/>
      <c r="G27" s="16"/>
      <c r="H27" s="17" t="s">
        <v>35</v>
      </c>
      <c r="I27" s="17"/>
      <c r="J27" s="17"/>
    </row>
    <row r="28" customFormat="false" ht="25.5" hidden="false" customHeight="true" outlineLevel="0" collapsed="false">
      <c r="A28" s="16" t="s">
        <v>36</v>
      </c>
      <c r="B28" s="16"/>
      <c r="C28" s="16"/>
      <c r="D28" s="16"/>
      <c r="E28" s="16"/>
      <c r="F28" s="16"/>
      <c r="G28" s="16"/>
      <c r="H28" s="18" t="s">
        <v>37</v>
      </c>
      <c r="I28" s="18"/>
      <c r="J28" s="18"/>
    </row>
    <row r="29" customFormat="false" ht="25.5" hidden="false" customHeight="true" outlineLevel="0" collapsed="false">
      <c r="A29" s="16" t="s">
        <v>38</v>
      </c>
      <c r="B29" s="16"/>
      <c r="C29" s="16"/>
      <c r="D29" s="16"/>
      <c r="E29" s="16"/>
      <c r="F29" s="16"/>
      <c r="G29" s="16"/>
      <c r="H29" s="17" t="n">
        <f aca="false">COUNTIF('Red Flags'!D4:D50,"Approval needed")</f>
        <v>0</v>
      </c>
      <c r="I29" s="17"/>
      <c r="J29" s="17"/>
    </row>
    <row r="32" customFormat="false" ht="19.5" hidden="false" customHeight="true" outlineLevel="0" collapsed="false">
      <c r="A32" s="19" t="s">
        <v>39</v>
      </c>
      <c r="B32" s="19"/>
      <c r="C32" s="19"/>
      <c r="D32" s="19"/>
      <c r="E32" s="19"/>
      <c r="F32" s="19"/>
      <c r="G32" s="19"/>
      <c r="H32" s="19"/>
      <c r="I32" s="19"/>
      <c r="J32" s="19"/>
    </row>
  </sheetData>
  <mergeCells count="16">
    <mergeCell ref="A1:J2"/>
    <mergeCell ref="A3:J3"/>
    <mergeCell ref="A5:J5"/>
    <mergeCell ref="A9:J9"/>
    <mergeCell ref="A24:J24"/>
    <mergeCell ref="A25:G25"/>
    <mergeCell ref="H25:J25"/>
    <mergeCell ref="A26:G26"/>
    <mergeCell ref="H26:J26"/>
    <mergeCell ref="A27:G27"/>
    <mergeCell ref="H27:J27"/>
    <mergeCell ref="A28:G28"/>
    <mergeCell ref="H28:J28"/>
    <mergeCell ref="A29:G29"/>
    <mergeCell ref="H29:J29"/>
    <mergeCell ref="A32:J32"/>
  </mergeCells>
  <conditionalFormatting sqref="D7">
    <cfRule type="cellIs" priority="2" operator="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conditionalFormatting sqref="I7">
    <cfRule type="cellIs" priority="4" operator="greaterThan" aboveAverage="0" equalAverage="0" bottom="0" percent="0" rank="0" text="" dxfId="1">
      <formula>0</formula>
    </cfRule>
  </conditionalFormatting>
  <conditionalFormatting sqref="J7">
    <cfRule type="cellIs" priority="5" operator="greaterThan" aboveAverage="0" equalAverage="0" bottom="0" percent="0" rank="0" text="" dxfId="1">
      <formula>0</formula>
    </cfRule>
  </conditionalFormatting>
  <conditionalFormatting sqref="C11:C22">
    <cfRule type="cellIs" priority="6" operator="equal" aboveAverage="0" equalAverage="0" bottom="0" percent="0" rank="0" text="" dxfId="2">
      <formula>"✓"</formula>
    </cfRule>
    <cfRule type="expression" priority="7" aboveAverage="0" equalAverage="0" bottom="0" percent="0" rank="0" text="" dxfId="3">
      <formula>AND($C11="",$A11&lt;=TODAY())</formula>
    </cfRule>
  </conditionalFormatting>
  <conditionalFormatting sqref="D11:D22">
    <cfRule type="cellIs" priority="8" operator="equal" aboveAverage="0" equalAverage="0" bottom="0" percent="0" rank="0" text="" dxfId="2">
      <formula>"✓"</formula>
    </cfRule>
    <cfRule type="expression" priority="9" aboveAverage="0" equalAverage="0" bottom="0" percent="0" rank="0" text="" dxfId="3">
      <formula>AND($D11="",$A11&lt;=TODAY())</formula>
    </cfRule>
  </conditionalFormatting>
  <conditionalFormatting sqref="E11:E22">
    <cfRule type="cellIs" priority="10" operator="equal" aboveAverage="0" equalAverage="0" bottom="0" percent="0" rank="0" text="" dxfId="2">
      <formula>"✓"</formula>
    </cfRule>
    <cfRule type="expression" priority="11" aboveAverage="0" equalAverage="0" bottom="0" percent="0" rank="0" text="" dxfId="3">
      <formula>AND($E11="",$A11&lt;=TODAY())</formula>
    </cfRule>
  </conditionalFormatting>
  <conditionalFormatting sqref="F11:F22">
    <cfRule type="cellIs" priority="12" operator="equal" aboveAverage="0" equalAverage="0" bottom="0" percent="0" rank="0" text="" dxfId="2">
      <formula>"✓"</formula>
    </cfRule>
    <cfRule type="expression" priority="13" aboveAverage="0" equalAverage="0" bottom="0" percent="0" rank="0" text="" dxfId="3">
      <formula>AND($F11="",$A11&lt;=TODAY())</formula>
    </cfRule>
  </conditionalFormatting>
  <conditionalFormatting sqref="G11:G22">
    <cfRule type="cellIs" priority="14" operator="equal" aboveAverage="0" equalAverage="0" bottom="0" percent="0" rank="0" text="" dxfId="2">
      <formula>"✓"</formula>
    </cfRule>
    <cfRule type="expression" priority="15" aboveAverage="0" equalAverage="0" bottom="0" percent="0" rank="0" text="" dxfId="3">
      <formula>AND($G11="",$A11&lt;=TODAY())</formula>
    </cfRule>
  </conditionalFormatting>
  <conditionalFormatting sqref="H11:H22">
    <cfRule type="cellIs" priority="16" operator="equal" aboveAverage="0" equalAverage="0" bottom="0" percent="0" rank="0" text="" dxfId="2">
      <formula>"✓"</formula>
    </cfRule>
    <cfRule type="expression" priority="17" aboveAverage="0" equalAverage="0" bottom="0" percent="0" rank="0" text="" dxfId="3">
      <formula>AND($H11="",$A11&lt;=TODAY())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38"/>
    <col collapsed="false" customWidth="true" hidden="false" outlineLevel="0" max="5" min="5" style="1" width="18"/>
    <col collapsed="false" customWidth="true" hidden="false" outlineLevel="0" max="6" min="6" style="1" width="11"/>
  </cols>
  <sheetData>
    <row r="1" customFormat="false" ht="25.5" hidden="false" customHeight="true" outlineLevel="0" collapsed="false">
      <c r="A1" s="20" t="s">
        <v>40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1" t="s">
        <v>41</v>
      </c>
      <c r="B2" s="21"/>
      <c r="C2" s="21"/>
      <c r="D2" s="21"/>
      <c r="E2" s="21"/>
      <c r="F2" s="21"/>
    </row>
    <row r="3" customFormat="false" ht="31.5" hidden="false" customHeight="true" outlineLevel="0" collapsed="false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</row>
    <row r="4" customFormat="false" ht="31.5" hidden="false" customHeight="true" outlineLevel="0" collapsed="false">
      <c r="A4" s="22" t="s">
        <v>16</v>
      </c>
      <c r="B4" s="23" t="s">
        <v>48</v>
      </c>
      <c r="C4" s="24" t="s">
        <v>49</v>
      </c>
      <c r="D4" s="24" t="s">
        <v>50</v>
      </c>
      <c r="E4" s="25" t="s">
        <v>51</v>
      </c>
      <c r="F4" s="26" t="s">
        <v>52</v>
      </c>
    </row>
    <row r="5" customFormat="false" ht="31.5" hidden="false" customHeight="true" outlineLevel="0" collapsed="false">
      <c r="A5" s="27" t="s">
        <v>16</v>
      </c>
      <c r="B5" s="23" t="s">
        <v>53</v>
      </c>
      <c r="C5" s="24" t="s">
        <v>54</v>
      </c>
      <c r="D5" s="24" t="s">
        <v>55</v>
      </c>
      <c r="E5" s="25" t="s">
        <v>56</v>
      </c>
      <c r="F5" s="26" t="s">
        <v>52</v>
      </c>
    </row>
    <row r="6" customFormat="false" ht="31.5" hidden="false" customHeight="true" outlineLevel="0" collapsed="false">
      <c r="A6" s="27" t="s">
        <v>16</v>
      </c>
      <c r="B6" s="23" t="s">
        <v>57</v>
      </c>
      <c r="C6" s="24" t="s">
        <v>58</v>
      </c>
      <c r="D6" s="24" t="s">
        <v>59</v>
      </c>
      <c r="E6" s="25" t="s">
        <v>56</v>
      </c>
      <c r="F6" s="26" t="s">
        <v>52</v>
      </c>
    </row>
    <row r="7" customFormat="false" ht="31.5" hidden="false" customHeight="true" outlineLevel="0" collapsed="false">
      <c r="A7" s="27" t="s">
        <v>16</v>
      </c>
      <c r="B7" s="23" t="s">
        <v>60</v>
      </c>
      <c r="C7" s="24" t="s">
        <v>61</v>
      </c>
      <c r="D7" s="24" t="s">
        <v>62</v>
      </c>
      <c r="E7" s="25" t="s">
        <v>63</v>
      </c>
      <c r="F7" s="26" t="s">
        <v>52</v>
      </c>
    </row>
    <row r="8" customFormat="false" ht="31.5" hidden="false" customHeight="true" outlineLevel="0" collapsed="false">
      <c r="A8" s="27" t="s">
        <v>16</v>
      </c>
      <c r="B8" s="23" t="s">
        <v>64</v>
      </c>
      <c r="C8" s="24" t="s">
        <v>65</v>
      </c>
      <c r="D8" s="24" t="s">
        <v>66</v>
      </c>
      <c r="E8" s="25" t="s">
        <v>67</v>
      </c>
      <c r="F8" s="28" t="s">
        <v>68</v>
      </c>
    </row>
    <row r="9" customFormat="false" ht="31.5" hidden="false" customHeight="true" outlineLevel="0" collapsed="false">
      <c r="A9" s="29" t="s">
        <v>17</v>
      </c>
      <c r="B9" s="30" t="s">
        <v>53</v>
      </c>
      <c r="C9" s="31" t="s">
        <v>69</v>
      </c>
      <c r="D9" s="31" t="s">
        <v>70</v>
      </c>
      <c r="E9" s="32" t="s">
        <v>56</v>
      </c>
      <c r="F9" s="26" t="s">
        <v>52</v>
      </c>
    </row>
    <row r="10" customFormat="false" ht="31.5" hidden="false" customHeight="true" outlineLevel="0" collapsed="false">
      <c r="A10" s="33" t="s">
        <v>17</v>
      </c>
      <c r="B10" s="30" t="s">
        <v>71</v>
      </c>
      <c r="C10" s="31" t="s">
        <v>72</v>
      </c>
      <c r="D10" s="31" t="s">
        <v>73</v>
      </c>
      <c r="E10" s="32" t="s">
        <v>56</v>
      </c>
      <c r="F10" s="26" t="s">
        <v>52</v>
      </c>
    </row>
    <row r="11" customFormat="false" ht="31.5" hidden="false" customHeight="true" outlineLevel="0" collapsed="false">
      <c r="A11" s="33" t="s">
        <v>17</v>
      </c>
      <c r="B11" s="30" t="s">
        <v>74</v>
      </c>
      <c r="C11" s="31" t="s">
        <v>75</v>
      </c>
      <c r="D11" s="31" t="s">
        <v>76</v>
      </c>
      <c r="E11" s="32" t="s">
        <v>77</v>
      </c>
      <c r="F11" s="26" t="s">
        <v>52</v>
      </c>
    </row>
    <row r="12" customFormat="false" ht="31.5" hidden="false" customHeight="true" outlineLevel="0" collapsed="false">
      <c r="A12" s="33" t="s">
        <v>17</v>
      </c>
      <c r="B12" s="30" t="s">
        <v>78</v>
      </c>
      <c r="C12" s="31" t="s">
        <v>79</v>
      </c>
      <c r="D12" s="31" t="s">
        <v>66</v>
      </c>
      <c r="E12" s="32" t="s">
        <v>67</v>
      </c>
      <c r="F12" s="28" t="s">
        <v>68</v>
      </c>
    </row>
    <row r="13" customFormat="false" ht="31.5" hidden="false" customHeight="true" outlineLevel="0" collapsed="false">
      <c r="A13" s="34" t="s">
        <v>18</v>
      </c>
      <c r="B13" s="35" t="s">
        <v>80</v>
      </c>
      <c r="C13" s="36" t="s">
        <v>81</v>
      </c>
      <c r="D13" s="36" t="s">
        <v>82</v>
      </c>
      <c r="E13" s="37" t="s">
        <v>77</v>
      </c>
      <c r="F13" s="26" t="s">
        <v>52</v>
      </c>
    </row>
    <row r="14" customFormat="false" ht="31.5" hidden="false" customHeight="true" outlineLevel="0" collapsed="false">
      <c r="A14" s="38" t="s">
        <v>18</v>
      </c>
      <c r="B14" s="35" t="s">
        <v>83</v>
      </c>
      <c r="C14" s="36" t="s">
        <v>84</v>
      </c>
      <c r="D14" s="36" t="s">
        <v>85</v>
      </c>
      <c r="E14" s="37" t="s">
        <v>77</v>
      </c>
      <c r="F14" s="26" t="s">
        <v>52</v>
      </c>
    </row>
    <row r="15" customFormat="false" ht="31.5" hidden="false" customHeight="true" outlineLevel="0" collapsed="false">
      <c r="A15" s="38" t="s">
        <v>18</v>
      </c>
      <c r="B15" s="35" t="s">
        <v>57</v>
      </c>
      <c r="C15" s="36" t="s">
        <v>86</v>
      </c>
      <c r="D15" s="36" t="s">
        <v>87</v>
      </c>
      <c r="E15" s="37" t="s">
        <v>77</v>
      </c>
      <c r="F15" s="26" t="s">
        <v>52</v>
      </c>
    </row>
    <row r="16" customFormat="false" ht="31.5" hidden="false" customHeight="true" outlineLevel="0" collapsed="false">
      <c r="A16" s="38" t="s">
        <v>18</v>
      </c>
      <c r="B16" s="35" t="s">
        <v>88</v>
      </c>
      <c r="C16" s="36" t="s">
        <v>89</v>
      </c>
      <c r="D16" s="36" t="s">
        <v>87</v>
      </c>
      <c r="E16" s="37" t="s">
        <v>77</v>
      </c>
      <c r="F16" s="26" t="s">
        <v>52</v>
      </c>
    </row>
    <row r="17" customFormat="false" ht="31.5" hidden="false" customHeight="true" outlineLevel="0" collapsed="false">
      <c r="A17" s="38" t="s">
        <v>18</v>
      </c>
      <c r="B17" s="35" t="s">
        <v>78</v>
      </c>
      <c r="C17" s="36" t="s">
        <v>90</v>
      </c>
      <c r="D17" s="36" t="s">
        <v>91</v>
      </c>
      <c r="E17" s="37" t="s">
        <v>67</v>
      </c>
      <c r="F17" s="28" t="s">
        <v>68</v>
      </c>
    </row>
    <row r="18" customFormat="false" ht="31.5" hidden="false" customHeight="true" outlineLevel="0" collapsed="false">
      <c r="A18" s="39" t="s">
        <v>19</v>
      </c>
      <c r="B18" s="40" t="s">
        <v>92</v>
      </c>
      <c r="C18" s="41" t="s">
        <v>93</v>
      </c>
      <c r="D18" s="41" t="s">
        <v>94</v>
      </c>
      <c r="E18" s="42" t="s">
        <v>95</v>
      </c>
      <c r="F18" s="26" t="s">
        <v>52</v>
      </c>
    </row>
    <row r="19" customFormat="false" ht="31.5" hidden="false" customHeight="true" outlineLevel="0" collapsed="false">
      <c r="A19" s="43" t="s">
        <v>19</v>
      </c>
      <c r="B19" s="40" t="s">
        <v>83</v>
      </c>
      <c r="C19" s="41" t="s">
        <v>96</v>
      </c>
      <c r="D19" s="41" t="s">
        <v>97</v>
      </c>
      <c r="E19" s="42" t="s">
        <v>56</v>
      </c>
      <c r="F19" s="26" t="s">
        <v>52</v>
      </c>
    </row>
    <row r="20" customFormat="false" ht="31.5" hidden="false" customHeight="true" outlineLevel="0" collapsed="false">
      <c r="A20" s="43" t="s">
        <v>19</v>
      </c>
      <c r="B20" s="40" t="s">
        <v>71</v>
      </c>
      <c r="C20" s="41" t="s">
        <v>98</v>
      </c>
      <c r="D20" s="41" t="s">
        <v>99</v>
      </c>
      <c r="E20" s="42" t="s">
        <v>67</v>
      </c>
      <c r="F20" s="44" t="s">
        <v>100</v>
      </c>
    </row>
    <row r="21" customFormat="false" ht="31.5" hidden="false" customHeight="true" outlineLevel="0" collapsed="false">
      <c r="A21" s="43" t="s">
        <v>19</v>
      </c>
      <c r="B21" s="40" t="s">
        <v>74</v>
      </c>
      <c r="C21" s="41" t="s">
        <v>101</v>
      </c>
      <c r="D21" s="41" t="s">
        <v>102</v>
      </c>
      <c r="E21" s="42" t="s">
        <v>67</v>
      </c>
      <c r="F21" s="44" t="s">
        <v>100</v>
      </c>
    </row>
    <row r="22" customFormat="false" ht="31.5" hidden="false" customHeight="true" outlineLevel="0" collapsed="false">
      <c r="A22" s="43" t="s">
        <v>19</v>
      </c>
      <c r="B22" s="40" t="s">
        <v>103</v>
      </c>
      <c r="C22" s="41" t="s">
        <v>104</v>
      </c>
      <c r="D22" s="41" t="s">
        <v>105</v>
      </c>
      <c r="E22" s="42" t="s">
        <v>67</v>
      </c>
      <c r="F22" s="28" t="s">
        <v>68</v>
      </c>
    </row>
    <row r="23" customFormat="false" ht="31.5" hidden="false" customHeight="true" outlineLevel="0" collapsed="false">
      <c r="A23" s="45" t="s">
        <v>20</v>
      </c>
      <c r="B23" s="46" t="s">
        <v>106</v>
      </c>
      <c r="C23" s="47" t="s">
        <v>107</v>
      </c>
      <c r="D23" s="47" t="s">
        <v>108</v>
      </c>
      <c r="E23" s="48" t="s">
        <v>109</v>
      </c>
      <c r="F23" s="28" t="s">
        <v>68</v>
      </c>
    </row>
    <row r="24" customFormat="false" ht="31.5" hidden="false" customHeight="true" outlineLevel="0" collapsed="false">
      <c r="A24" s="49" t="s">
        <v>20</v>
      </c>
      <c r="B24" s="46" t="s">
        <v>83</v>
      </c>
      <c r="C24" s="47" t="s">
        <v>110</v>
      </c>
      <c r="D24" s="47" t="s">
        <v>111</v>
      </c>
      <c r="E24" s="48" t="s">
        <v>109</v>
      </c>
      <c r="F24" s="26" t="s">
        <v>52</v>
      </c>
    </row>
    <row r="25" customFormat="false" ht="31.5" hidden="false" customHeight="true" outlineLevel="0" collapsed="false">
      <c r="A25" s="49" t="s">
        <v>20</v>
      </c>
      <c r="B25" s="46" t="s">
        <v>71</v>
      </c>
      <c r="C25" s="47" t="s">
        <v>112</v>
      </c>
      <c r="D25" s="47" t="s">
        <v>113</v>
      </c>
      <c r="E25" s="48" t="s">
        <v>109</v>
      </c>
      <c r="F25" s="26" t="s">
        <v>52</v>
      </c>
    </row>
    <row r="26" customFormat="false" ht="31.5" hidden="false" customHeight="true" outlineLevel="0" collapsed="false">
      <c r="A26" s="49" t="s">
        <v>20</v>
      </c>
      <c r="B26" s="46" t="s">
        <v>114</v>
      </c>
      <c r="C26" s="47" t="s">
        <v>115</v>
      </c>
      <c r="D26" s="47" t="s">
        <v>116</v>
      </c>
      <c r="E26" s="48" t="s">
        <v>109</v>
      </c>
      <c r="F26" s="26" t="s">
        <v>52</v>
      </c>
    </row>
    <row r="27" customFormat="false" ht="31.5" hidden="false" customHeight="true" outlineLevel="0" collapsed="false">
      <c r="A27" s="49" t="s">
        <v>20</v>
      </c>
      <c r="B27" s="46" t="s">
        <v>117</v>
      </c>
      <c r="C27" s="47" t="s">
        <v>118</v>
      </c>
      <c r="D27" s="47" t="s">
        <v>119</v>
      </c>
      <c r="E27" s="48" t="s">
        <v>109</v>
      </c>
      <c r="F27" s="28" t="s">
        <v>68</v>
      </c>
    </row>
    <row r="28" customFormat="false" ht="31.5" hidden="false" customHeight="true" outlineLevel="0" collapsed="false">
      <c r="A28" s="49" t="s">
        <v>20</v>
      </c>
      <c r="B28" s="46" t="s">
        <v>120</v>
      </c>
      <c r="C28" s="47" t="s">
        <v>121</v>
      </c>
      <c r="D28" s="47" t="s">
        <v>122</v>
      </c>
      <c r="E28" s="48" t="s">
        <v>67</v>
      </c>
      <c r="F28" s="28" t="s">
        <v>68</v>
      </c>
    </row>
    <row r="29" customFormat="false" ht="31.5" hidden="false" customHeight="true" outlineLevel="0" collapsed="false">
      <c r="A29" s="50" t="s">
        <v>21</v>
      </c>
      <c r="B29" s="51" t="s">
        <v>123</v>
      </c>
      <c r="C29" s="52" t="s">
        <v>124</v>
      </c>
      <c r="D29" s="52" t="s">
        <v>125</v>
      </c>
      <c r="E29" s="53" t="s">
        <v>126</v>
      </c>
      <c r="F29" s="26" t="s">
        <v>52</v>
      </c>
    </row>
    <row r="30" customFormat="false" ht="31.5" hidden="false" customHeight="true" outlineLevel="0" collapsed="false">
      <c r="A30" s="54" t="s">
        <v>21</v>
      </c>
      <c r="B30" s="51" t="s">
        <v>127</v>
      </c>
      <c r="C30" s="52" t="s">
        <v>128</v>
      </c>
      <c r="D30" s="52" t="s">
        <v>129</v>
      </c>
      <c r="E30" s="53" t="s">
        <v>130</v>
      </c>
      <c r="F30" s="44" t="s">
        <v>100</v>
      </c>
    </row>
    <row r="31" customFormat="false" ht="31.5" hidden="false" customHeight="true" outlineLevel="0" collapsed="false">
      <c r="A31" s="54" t="s">
        <v>21</v>
      </c>
      <c r="B31" s="51" t="s">
        <v>57</v>
      </c>
      <c r="C31" s="52" t="s">
        <v>131</v>
      </c>
      <c r="D31" s="52" t="s">
        <v>132</v>
      </c>
      <c r="E31" s="53" t="s">
        <v>130</v>
      </c>
      <c r="F31" s="26" t="s">
        <v>52</v>
      </c>
    </row>
    <row r="32" customFormat="false" ht="31.5" hidden="false" customHeight="true" outlineLevel="0" collapsed="false">
      <c r="A32" s="54" t="s">
        <v>21</v>
      </c>
      <c r="B32" s="51" t="s">
        <v>133</v>
      </c>
      <c r="C32" s="52" t="s">
        <v>134</v>
      </c>
      <c r="D32" s="52" t="s">
        <v>135</v>
      </c>
      <c r="E32" s="53" t="s">
        <v>130</v>
      </c>
      <c r="F32" s="26" t="s">
        <v>52</v>
      </c>
    </row>
    <row r="33" customFormat="false" ht="31.5" hidden="false" customHeight="true" outlineLevel="0" collapsed="false">
      <c r="A33" s="54" t="s">
        <v>21</v>
      </c>
      <c r="B33" s="51" t="s">
        <v>136</v>
      </c>
      <c r="C33" s="52" t="s">
        <v>137</v>
      </c>
      <c r="D33" s="52" t="s">
        <v>138</v>
      </c>
      <c r="E33" s="53" t="s">
        <v>67</v>
      </c>
      <c r="F33" s="28" t="s">
        <v>68</v>
      </c>
    </row>
    <row r="34" customFormat="false" ht="31.5" hidden="false" customHeight="true" outlineLevel="0" collapsed="false">
      <c r="A34" s="55" t="s">
        <v>139</v>
      </c>
      <c r="B34" s="56" t="s">
        <v>140</v>
      </c>
      <c r="C34" s="57" t="s">
        <v>141</v>
      </c>
      <c r="D34" s="57" t="s">
        <v>142</v>
      </c>
      <c r="E34" s="58" t="s">
        <v>143</v>
      </c>
      <c r="F34" s="44" t="s">
        <v>100</v>
      </c>
    </row>
    <row r="35" customFormat="false" ht="31.5" hidden="false" customHeight="true" outlineLevel="0" collapsed="false">
      <c r="A35" s="59" t="s">
        <v>139</v>
      </c>
      <c r="B35" s="56" t="s">
        <v>144</v>
      </c>
      <c r="C35" s="57" t="s">
        <v>145</v>
      </c>
      <c r="D35" s="57" t="s">
        <v>146</v>
      </c>
      <c r="E35" s="58" t="s">
        <v>147</v>
      </c>
      <c r="F35" s="26" t="s">
        <v>52</v>
      </c>
    </row>
    <row r="36" customFormat="false" ht="31.5" hidden="false" customHeight="true" outlineLevel="0" collapsed="false">
      <c r="A36" s="59" t="s">
        <v>139</v>
      </c>
      <c r="B36" s="56" t="s">
        <v>148</v>
      </c>
      <c r="C36" s="57" t="s">
        <v>149</v>
      </c>
      <c r="D36" s="57" t="s">
        <v>150</v>
      </c>
      <c r="E36" s="58" t="s">
        <v>151</v>
      </c>
      <c r="F36" s="44" t="s">
        <v>100</v>
      </c>
    </row>
    <row r="37" customFormat="false" ht="31.5" hidden="false" customHeight="true" outlineLevel="0" collapsed="false">
      <c r="A37" s="59" t="s">
        <v>139</v>
      </c>
      <c r="B37" s="56" t="s">
        <v>152</v>
      </c>
      <c r="C37" s="57" t="s">
        <v>153</v>
      </c>
      <c r="D37" s="57" t="s">
        <v>154</v>
      </c>
      <c r="E37" s="58" t="s">
        <v>151</v>
      </c>
      <c r="F37" s="44" t="s">
        <v>100</v>
      </c>
    </row>
    <row r="38" customFormat="false" ht="31.5" hidden="false" customHeight="true" outlineLevel="0" collapsed="false">
      <c r="A38" s="59" t="s">
        <v>139</v>
      </c>
      <c r="B38" s="56" t="s">
        <v>155</v>
      </c>
      <c r="C38" s="57" t="s">
        <v>156</v>
      </c>
      <c r="D38" s="57" t="s">
        <v>146</v>
      </c>
      <c r="E38" s="58" t="s">
        <v>157</v>
      </c>
      <c r="F38" s="26" t="s">
        <v>52</v>
      </c>
    </row>
    <row r="39" customFormat="false" ht="31.5" hidden="false" customHeight="true" outlineLevel="0" collapsed="false">
      <c r="A39" s="60" t="s">
        <v>158</v>
      </c>
      <c r="B39" s="61" t="s">
        <v>159</v>
      </c>
      <c r="C39" s="62" t="s">
        <v>160</v>
      </c>
      <c r="D39" s="62" t="s">
        <v>161</v>
      </c>
      <c r="E39" s="63" t="s">
        <v>162</v>
      </c>
      <c r="F39" s="28" t="s">
        <v>68</v>
      </c>
    </row>
    <row r="40" customFormat="false" ht="31.5" hidden="false" customHeight="true" outlineLevel="0" collapsed="false">
      <c r="A40" s="64" t="s">
        <v>158</v>
      </c>
      <c r="B40" s="61" t="s">
        <v>163</v>
      </c>
      <c r="C40" s="62" t="s">
        <v>164</v>
      </c>
      <c r="D40" s="62" t="s">
        <v>165</v>
      </c>
      <c r="E40" s="63" t="s">
        <v>166</v>
      </c>
      <c r="F40" s="26" t="s">
        <v>52</v>
      </c>
    </row>
    <row r="41" customFormat="false" ht="31.5" hidden="false" customHeight="true" outlineLevel="0" collapsed="false">
      <c r="A41" s="64" t="s">
        <v>158</v>
      </c>
      <c r="B41" s="61" t="s">
        <v>71</v>
      </c>
      <c r="C41" s="62" t="s">
        <v>167</v>
      </c>
      <c r="D41" s="62" t="s">
        <v>168</v>
      </c>
      <c r="E41" s="63" t="s">
        <v>166</v>
      </c>
      <c r="F41" s="44" t="s">
        <v>100</v>
      </c>
    </row>
    <row r="42" customFormat="false" ht="31.5" hidden="false" customHeight="true" outlineLevel="0" collapsed="false">
      <c r="A42" s="64" t="s">
        <v>158</v>
      </c>
      <c r="B42" s="61" t="s">
        <v>155</v>
      </c>
      <c r="C42" s="62" t="s">
        <v>169</v>
      </c>
      <c r="D42" s="62" t="s">
        <v>170</v>
      </c>
      <c r="E42" s="63" t="s">
        <v>166</v>
      </c>
      <c r="F42" s="26" t="s">
        <v>52</v>
      </c>
    </row>
    <row r="43" customFormat="false" ht="31.5" hidden="false" customHeight="true" outlineLevel="0" collapsed="false">
      <c r="A43" s="64" t="s">
        <v>158</v>
      </c>
      <c r="B43" s="61" t="s">
        <v>171</v>
      </c>
      <c r="C43" s="62" t="s">
        <v>172</v>
      </c>
      <c r="D43" s="62" t="s">
        <v>173</v>
      </c>
      <c r="E43" s="63" t="s">
        <v>166</v>
      </c>
      <c r="F43" s="28" t="s">
        <v>68</v>
      </c>
    </row>
  </sheetData>
  <autoFilter ref="A3:F43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  <col collapsed="false" customWidth="true" hidden="false" outlineLevel="0" max="9" min="9" style="1" width="32"/>
  </cols>
  <sheetData>
    <row r="1" customFormat="false" ht="25.5" hidden="false" customHeight="true" outlineLevel="0" collapsed="false">
      <c r="A1" s="20" t="s">
        <v>174</v>
      </c>
      <c r="B1" s="20"/>
      <c r="C1" s="20"/>
      <c r="D1" s="20"/>
      <c r="E1" s="20"/>
      <c r="F1" s="20"/>
      <c r="G1" s="20"/>
      <c r="H1" s="20"/>
      <c r="I1" s="20"/>
    </row>
    <row r="2" customFormat="false" ht="19.5" hidden="false" customHeight="true" outlineLevel="0" collapsed="false">
      <c r="A2" s="21" t="s">
        <v>175</v>
      </c>
      <c r="B2" s="21"/>
      <c r="C2" s="21"/>
      <c r="D2" s="21"/>
      <c r="E2" s="21"/>
      <c r="F2" s="21"/>
      <c r="G2" s="21"/>
      <c r="H2" s="21"/>
      <c r="I2" s="21"/>
    </row>
    <row r="3" customFormat="false" ht="36" hidden="false" customHeight="true" outlineLevel="0" collapsed="false">
      <c r="A3" s="10" t="s">
        <v>14</v>
      </c>
      <c r="B3" s="10" t="s">
        <v>176</v>
      </c>
      <c r="C3" s="10" t="s">
        <v>177</v>
      </c>
      <c r="D3" s="10" t="s">
        <v>178</v>
      </c>
      <c r="E3" s="10" t="s">
        <v>179</v>
      </c>
      <c r="F3" s="10" t="s">
        <v>180</v>
      </c>
      <c r="G3" s="10" t="s">
        <v>181</v>
      </c>
      <c r="H3" s="10" t="s">
        <v>182</v>
      </c>
      <c r="I3" s="10" t="s">
        <v>183</v>
      </c>
    </row>
    <row r="4" customFormat="false" ht="27.75" hidden="false" customHeight="true" outlineLevel="0" collapsed="false">
      <c r="A4" s="65" t="n">
        <v>46167</v>
      </c>
      <c r="B4" s="66"/>
      <c r="C4" s="66"/>
      <c r="D4" s="67" t="n">
        <f aca="false">IFERROR(C4/B4,0)</f>
        <v>0</v>
      </c>
      <c r="E4" s="66"/>
      <c r="F4" s="66"/>
      <c r="G4" s="66"/>
      <c r="H4" s="66"/>
      <c r="I4" s="66"/>
    </row>
    <row r="5" customFormat="false" ht="27.75" hidden="false" customHeight="true" outlineLevel="0" collapsed="false">
      <c r="A5" s="68" t="n">
        <v>46168</v>
      </c>
      <c r="B5" s="69"/>
      <c r="C5" s="69"/>
      <c r="D5" s="70" t="n">
        <f aca="false">IFERROR(C5/B5,0)</f>
        <v>0</v>
      </c>
      <c r="E5" s="69"/>
      <c r="F5" s="69"/>
      <c r="G5" s="69"/>
      <c r="H5" s="69"/>
      <c r="I5" s="69"/>
    </row>
    <row r="6" customFormat="false" ht="27.75" hidden="false" customHeight="true" outlineLevel="0" collapsed="false">
      <c r="A6" s="65" t="n">
        <v>46169</v>
      </c>
      <c r="B6" s="66"/>
      <c r="C6" s="66"/>
      <c r="D6" s="67" t="n">
        <f aca="false">IFERROR(C6/B6,0)</f>
        <v>0</v>
      </c>
      <c r="E6" s="66"/>
      <c r="F6" s="66"/>
      <c r="G6" s="66"/>
      <c r="H6" s="66"/>
      <c r="I6" s="66"/>
    </row>
    <row r="7" customFormat="false" ht="27.75" hidden="false" customHeight="true" outlineLevel="0" collapsed="false">
      <c r="A7" s="68" t="n">
        <v>46170</v>
      </c>
      <c r="B7" s="69"/>
      <c r="C7" s="69"/>
      <c r="D7" s="70" t="n">
        <f aca="false">IFERROR(C7/B7,0)</f>
        <v>0</v>
      </c>
      <c r="E7" s="69"/>
      <c r="F7" s="69"/>
      <c r="G7" s="69"/>
      <c r="H7" s="69"/>
      <c r="I7" s="69"/>
    </row>
    <row r="8" customFormat="false" ht="27.75" hidden="false" customHeight="true" outlineLevel="0" collapsed="false">
      <c r="A8" s="65" t="n">
        <v>46171</v>
      </c>
      <c r="B8" s="66"/>
      <c r="C8" s="66"/>
      <c r="D8" s="67" t="n">
        <f aca="false">IFERROR(C8/B8,0)</f>
        <v>0</v>
      </c>
      <c r="E8" s="66"/>
      <c r="F8" s="66"/>
      <c r="G8" s="66"/>
      <c r="H8" s="66"/>
      <c r="I8" s="66"/>
    </row>
    <row r="9" customFormat="false" ht="27.75" hidden="false" customHeight="true" outlineLevel="0" collapsed="false">
      <c r="A9" s="68" t="n">
        <v>46172</v>
      </c>
      <c r="B9" s="69"/>
      <c r="C9" s="69"/>
      <c r="D9" s="70" t="n">
        <f aca="false">IFERROR(C9/B9,0)</f>
        <v>0</v>
      </c>
      <c r="E9" s="69"/>
      <c r="F9" s="69"/>
      <c r="G9" s="69"/>
      <c r="H9" s="69"/>
      <c r="I9" s="69"/>
    </row>
    <row r="10" customFormat="false" ht="27.75" hidden="false" customHeight="true" outlineLevel="0" collapsed="false">
      <c r="A10" s="65" t="n">
        <v>46173</v>
      </c>
      <c r="B10" s="66"/>
      <c r="C10" s="66"/>
      <c r="D10" s="67" t="n">
        <f aca="false">IFERROR(C10/B10,0)</f>
        <v>0</v>
      </c>
      <c r="E10" s="66"/>
      <c r="F10" s="66"/>
      <c r="G10" s="66"/>
      <c r="H10" s="66"/>
      <c r="I10" s="66"/>
    </row>
    <row r="11" customFormat="false" ht="27.75" hidden="false" customHeight="true" outlineLevel="0" collapsed="false">
      <c r="A11" s="68" t="n">
        <v>46174</v>
      </c>
      <c r="B11" s="69"/>
      <c r="C11" s="69"/>
      <c r="D11" s="70" t="n">
        <f aca="false">IFERROR(C11/B11,0)</f>
        <v>0</v>
      </c>
      <c r="E11" s="69"/>
      <c r="F11" s="69"/>
      <c r="G11" s="69"/>
      <c r="H11" s="69"/>
      <c r="I11" s="69"/>
    </row>
    <row r="12" customFormat="false" ht="27.75" hidden="false" customHeight="true" outlineLevel="0" collapsed="false">
      <c r="A12" s="65" t="n">
        <v>46175</v>
      </c>
      <c r="B12" s="66"/>
      <c r="C12" s="66"/>
      <c r="D12" s="67" t="n">
        <f aca="false">IFERROR(C12/B12,0)</f>
        <v>0</v>
      </c>
      <c r="E12" s="66"/>
      <c r="F12" s="66"/>
      <c r="G12" s="66"/>
      <c r="H12" s="66"/>
      <c r="I12" s="66"/>
    </row>
    <row r="13" customFormat="false" ht="27.75" hidden="false" customHeight="true" outlineLevel="0" collapsed="false">
      <c r="A13" s="68" t="n">
        <v>46176</v>
      </c>
      <c r="B13" s="69"/>
      <c r="C13" s="69"/>
      <c r="D13" s="70" t="n">
        <f aca="false">IFERROR(C13/B13,0)</f>
        <v>0</v>
      </c>
      <c r="E13" s="69"/>
      <c r="F13" s="69"/>
      <c r="G13" s="69"/>
      <c r="H13" s="69"/>
      <c r="I13" s="69"/>
    </row>
    <row r="14" customFormat="false" ht="27.75" hidden="false" customHeight="true" outlineLevel="0" collapsed="false">
      <c r="A14" s="65" t="n">
        <v>46177</v>
      </c>
      <c r="B14" s="66"/>
      <c r="C14" s="66"/>
      <c r="D14" s="67" t="n">
        <f aca="false">IFERROR(C14/B14,0)</f>
        <v>0</v>
      </c>
      <c r="E14" s="66"/>
      <c r="F14" s="66"/>
      <c r="G14" s="66"/>
      <c r="H14" s="66"/>
      <c r="I14" s="66"/>
    </row>
    <row r="15" customFormat="false" ht="27.75" hidden="false" customHeight="true" outlineLevel="0" collapsed="false">
      <c r="A15" s="68" t="n">
        <v>46178</v>
      </c>
      <c r="B15" s="69"/>
      <c r="C15" s="69"/>
      <c r="D15" s="70" t="n">
        <f aca="false">IFERROR(C15/B15,0)</f>
        <v>0</v>
      </c>
      <c r="E15" s="69"/>
      <c r="F15" s="69"/>
      <c r="G15" s="69"/>
      <c r="H15" s="69"/>
      <c r="I15" s="6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  <col collapsed="false" customWidth="true" hidden="false" outlineLevel="0" max="9" min="9" style="1" width="32"/>
  </cols>
  <sheetData>
    <row r="1" customFormat="false" ht="25.5" hidden="false" customHeight="true" outlineLevel="0" collapsed="false">
      <c r="A1" s="20" t="s">
        <v>184</v>
      </c>
      <c r="B1" s="20"/>
      <c r="C1" s="20"/>
      <c r="D1" s="20"/>
      <c r="E1" s="20"/>
      <c r="F1" s="20"/>
      <c r="G1" s="20"/>
      <c r="H1" s="20"/>
      <c r="I1" s="20"/>
    </row>
    <row r="2" customFormat="false" ht="19.5" hidden="false" customHeight="true" outlineLevel="0" collapsed="false">
      <c r="A2" s="21" t="s">
        <v>185</v>
      </c>
      <c r="B2" s="21"/>
      <c r="C2" s="21"/>
      <c r="D2" s="21"/>
      <c r="E2" s="21"/>
      <c r="F2" s="21"/>
      <c r="G2" s="21"/>
      <c r="H2" s="21"/>
      <c r="I2" s="21"/>
    </row>
    <row r="3" customFormat="false" ht="36" hidden="false" customHeight="true" outlineLevel="0" collapsed="false">
      <c r="A3" s="10" t="s">
        <v>14</v>
      </c>
      <c r="B3" s="10" t="s">
        <v>176</v>
      </c>
      <c r="C3" s="10" t="s">
        <v>177</v>
      </c>
      <c r="D3" s="10" t="s">
        <v>178</v>
      </c>
      <c r="E3" s="10" t="s">
        <v>179</v>
      </c>
      <c r="F3" s="10" t="s">
        <v>180</v>
      </c>
      <c r="G3" s="10" t="s">
        <v>181</v>
      </c>
      <c r="H3" s="10" t="s">
        <v>182</v>
      </c>
      <c r="I3" s="10" t="s">
        <v>183</v>
      </c>
    </row>
    <row r="4" customFormat="false" ht="27.75" hidden="false" customHeight="true" outlineLevel="0" collapsed="false">
      <c r="A4" s="65" t="n">
        <v>46167</v>
      </c>
      <c r="B4" s="66"/>
      <c r="C4" s="66"/>
      <c r="D4" s="67" t="n">
        <f aca="false">IFERROR(C4/B4,0)</f>
        <v>0</v>
      </c>
      <c r="E4" s="66"/>
      <c r="F4" s="66"/>
      <c r="G4" s="66"/>
      <c r="H4" s="66"/>
      <c r="I4" s="66"/>
    </row>
    <row r="5" customFormat="false" ht="27.75" hidden="false" customHeight="true" outlineLevel="0" collapsed="false">
      <c r="A5" s="68" t="n">
        <v>46168</v>
      </c>
      <c r="B5" s="69"/>
      <c r="C5" s="69"/>
      <c r="D5" s="70" t="n">
        <f aca="false">IFERROR(C5/B5,0)</f>
        <v>0</v>
      </c>
      <c r="E5" s="69"/>
      <c r="F5" s="69"/>
      <c r="G5" s="69"/>
      <c r="H5" s="69"/>
      <c r="I5" s="69"/>
    </row>
    <row r="6" customFormat="false" ht="27.75" hidden="false" customHeight="true" outlineLevel="0" collapsed="false">
      <c r="A6" s="65" t="n">
        <v>46169</v>
      </c>
      <c r="B6" s="66"/>
      <c r="C6" s="66"/>
      <c r="D6" s="67" t="n">
        <f aca="false">IFERROR(C6/B6,0)</f>
        <v>0</v>
      </c>
      <c r="E6" s="66"/>
      <c r="F6" s="66"/>
      <c r="G6" s="66"/>
      <c r="H6" s="66"/>
      <c r="I6" s="66"/>
    </row>
    <row r="7" customFormat="false" ht="27.75" hidden="false" customHeight="true" outlineLevel="0" collapsed="false">
      <c r="A7" s="68" t="n">
        <v>46170</v>
      </c>
      <c r="B7" s="69"/>
      <c r="C7" s="69"/>
      <c r="D7" s="70" t="n">
        <f aca="false">IFERROR(C7/B7,0)</f>
        <v>0</v>
      </c>
      <c r="E7" s="69"/>
      <c r="F7" s="69"/>
      <c r="G7" s="69"/>
      <c r="H7" s="69"/>
      <c r="I7" s="69"/>
    </row>
    <row r="8" customFormat="false" ht="27.75" hidden="false" customHeight="true" outlineLevel="0" collapsed="false">
      <c r="A8" s="65" t="n">
        <v>46171</v>
      </c>
      <c r="B8" s="66"/>
      <c r="C8" s="66"/>
      <c r="D8" s="67" t="n">
        <f aca="false">IFERROR(C8/B8,0)</f>
        <v>0</v>
      </c>
      <c r="E8" s="66"/>
      <c r="F8" s="66"/>
      <c r="G8" s="66"/>
      <c r="H8" s="66"/>
      <c r="I8" s="66"/>
    </row>
    <row r="9" customFormat="false" ht="27.75" hidden="false" customHeight="true" outlineLevel="0" collapsed="false">
      <c r="A9" s="68" t="n">
        <v>46172</v>
      </c>
      <c r="B9" s="69"/>
      <c r="C9" s="69"/>
      <c r="D9" s="70" t="n">
        <f aca="false">IFERROR(C9/B9,0)</f>
        <v>0</v>
      </c>
      <c r="E9" s="69"/>
      <c r="F9" s="69"/>
      <c r="G9" s="69"/>
      <c r="H9" s="69"/>
      <c r="I9" s="69"/>
    </row>
    <row r="10" customFormat="false" ht="27.75" hidden="false" customHeight="true" outlineLevel="0" collapsed="false">
      <c r="A10" s="65" t="n">
        <v>46173</v>
      </c>
      <c r="B10" s="66"/>
      <c r="C10" s="66"/>
      <c r="D10" s="67" t="n">
        <f aca="false">IFERROR(C10/B10,0)</f>
        <v>0</v>
      </c>
      <c r="E10" s="66"/>
      <c r="F10" s="66"/>
      <c r="G10" s="66"/>
      <c r="H10" s="66"/>
      <c r="I10" s="66"/>
    </row>
    <row r="11" customFormat="false" ht="27.75" hidden="false" customHeight="true" outlineLevel="0" collapsed="false">
      <c r="A11" s="68" t="n">
        <v>46174</v>
      </c>
      <c r="B11" s="69"/>
      <c r="C11" s="69"/>
      <c r="D11" s="70" t="n">
        <f aca="false">IFERROR(C11/B11,0)</f>
        <v>0</v>
      </c>
      <c r="E11" s="69"/>
      <c r="F11" s="69"/>
      <c r="G11" s="69"/>
      <c r="H11" s="69"/>
      <c r="I11" s="69"/>
    </row>
    <row r="12" customFormat="false" ht="27.75" hidden="false" customHeight="true" outlineLevel="0" collapsed="false">
      <c r="A12" s="65" t="n">
        <v>46175</v>
      </c>
      <c r="B12" s="66"/>
      <c r="C12" s="66"/>
      <c r="D12" s="67" t="n">
        <f aca="false">IFERROR(C12/B12,0)</f>
        <v>0</v>
      </c>
      <c r="E12" s="66"/>
      <c r="F12" s="66"/>
      <c r="G12" s="66"/>
      <c r="H12" s="66"/>
      <c r="I12" s="66"/>
    </row>
    <row r="13" customFormat="false" ht="27.75" hidden="false" customHeight="true" outlineLevel="0" collapsed="false">
      <c r="A13" s="68" t="n">
        <v>46176</v>
      </c>
      <c r="B13" s="69"/>
      <c r="C13" s="69"/>
      <c r="D13" s="70" t="n">
        <f aca="false">IFERROR(C13/B13,0)</f>
        <v>0</v>
      </c>
      <c r="E13" s="69"/>
      <c r="F13" s="69"/>
      <c r="G13" s="69"/>
      <c r="H13" s="69"/>
      <c r="I13" s="69"/>
    </row>
    <row r="14" customFormat="false" ht="27.75" hidden="false" customHeight="true" outlineLevel="0" collapsed="false">
      <c r="A14" s="65" t="n">
        <v>46177</v>
      </c>
      <c r="B14" s="66"/>
      <c r="C14" s="66"/>
      <c r="D14" s="67" t="n">
        <f aca="false">IFERROR(C14/B14,0)</f>
        <v>0</v>
      </c>
      <c r="E14" s="66"/>
      <c r="F14" s="66"/>
      <c r="G14" s="66"/>
      <c r="H14" s="66"/>
      <c r="I14" s="66"/>
    </row>
    <row r="15" customFormat="false" ht="27.75" hidden="false" customHeight="true" outlineLevel="0" collapsed="false">
      <c r="A15" s="68" t="n">
        <v>46178</v>
      </c>
      <c r="B15" s="69"/>
      <c r="C15" s="69"/>
      <c r="D15" s="70" t="n">
        <f aca="false">IFERROR(C15/B15,0)</f>
        <v>0</v>
      </c>
      <c r="E15" s="69"/>
      <c r="F15" s="69"/>
      <c r="G15" s="69"/>
      <c r="H15" s="69"/>
      <c r="I15" s="69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6"/>
    <col collapsed="false" customWidth="true" hidden="false" outlineLevel="0" max="8" min="8" style="1" width="32"/>
  </cols>
  <sheetData>
    <row r="1" customFormat="false" ht="25.5" hidden="false" customHeight="true" outlineLevel="0" collapsed="false">
      <c r="A1" s="20" t="s">
        <v>186</v>
      </c>
      <c r="B1" s="20"/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A2" s="21" t="s">
        <v>185</v>
      </c>
      <c r="B2" s="21"/>
      <c r="C2" s="21"/>
      <c r="D2" s="21"/>
      <c r="E2" s="21"/>
      <c r="F2" s="21"/>
      <c r="G2" s="21"/>
      <c r="H2" s="21"/>
    </row>
    <row r="3" customFormat="false" ht="36" hidden="false" customHeight="true" outlineLevel="0" collapsed="false">
      <c r="A3" s="10" t="s">
        <v>14</v>
      </c>
      <c r="B3" s="10" t="s">
        <v>187</v>
      </c>
      <c r="C3" s="10" t="s">
        <v>188</v>
      </c>
      <c r="D3" s="10" t="s">
        <v>189</v>
      </c>
      <c r="E3" s="10" t="s">
        <v>190</v>
      </c>
      <c r="F3" s="10" t="s">
        <v>191</v>
      </c>
      <c r="G3" s="10" t="s">
        <v>192</v>
      </c>
      <c r="H3" s="10" t="s">
        <v>23</v>
      </c>
    </row>
    <row r="4" customFormat="false" ht="27.75" hidden="false" customHeight="true" outlineLevel="0" collapsed="false">
      <c r="A4" s="65" t="n">
        <v>46167</v>
      </c>
      <c r="B4" s="66"/>
      <c r="C4" s="66"/>
      <c r="D4" s="66"/>
      <c r="E4" s="66"/>
      <c r="F4" s="66"/>
      <c r="G4" s="66"/>
      <c r="H4" s="66"/>
    </row>
    <row r="5" customFormat="false" ht="27.75" hidden="false" customHeight="true" outlineLevel="0" collapsed="false">
      <c r="A5" s="68" t="n">
        <v>46168</v>
      </c>
      <c r="B5" s="69"/>
      <c r="C5" s="69"/>
      <c r="D5" s="69"/>
      <c r="E5" s="69"/>
      <c r="F5" s="69"/>
      <c r="G5" s="69"/>
      <c r="H5" s="69"/>
    </row>
    <row r="6" customFormat="false" ht="27.75" hidden="false" customHeight="true" outlineLevel="0" collapsed="false">
      <c r="A6" s="65" t="n">
        <v>46169</v>
      </c>
      <c r="B6" s="66"/>
      <c r="C6" s="66"/>
      <c r="D6" s="66"/>
      <c r="E6" s="66"/>
      <c r="F6" s="66"/>
      <c r="G6" s="66"/>
      <c r="H6" s="66"/>
    </row>
    <row r="7" customFormat="false" ht="27.75" hidden="false" customHeight="true" outlineLevel="0" collapsed="false">
      <c r="A7" s="68" t="n">
        <v>46170</v>
      </c>
      <c r="B7" s="69"/>
      <c r="C7" s="69"/>
      <c r="D7" s="69"/>
      <c r="E7" s="69"/>
      <c r="F7" s="69"/>
      <c r="G7" s="69"/>
      <c r="H7" s="69"/>
    </row>
    <row r="8" customFormat="false" ht="27.75" hidden="false" customHeight="true" outlineLevel="0" collapsed="false">
      <c r="A8" s="65" t="n">
        <v>46171</v>
      </c>
      <c r="B8" s="66"/>
      <c r="C8" s="66"/>
      <c r="D8" s="66"/>
      <c r="E8" s="66"/>
      <c r="F8" s="66"/>
      <c r="G8" s="66"/>
      <c r="H8" s="66"/>
    </row>
    <row r="9" customFormat="false" ht="27.75" hidden="false" customHeight="true" outlineLevel="0" collapsed="false">
      <c r="A9" s="68" t="n">
        <v>46172</v>
      </c>
      <c r="B9" s="69"/>
      <c r="C9" s="69"/>
      <c r="D9" s="69"/>
      <c r="E9" s="69"/>
      <c r="F9" s="69"/>
      <c r="G9" s="69"/>
      <c r="H9" s="69"/>
    </row>
    <row r="10" customFormat="false" ht="27.75" hidden="false" customHeight="true" outlineLevel="0" collapsed="false">
      <c r="A10" s="65" t="n">
        <v>46173</v>
      </c>
      <c r="B10" s="66"/>
      <c r="C10" s="66"/>
      <c r="D10" s="66"/>
      <c r="E10" s="66"/>
      <c r="F10" s="66"/>
      <c r="G10" s="66"/>
      <c r="H10" s="66"/>
    </row>
    <row r="11" customFormat="false" ht="27.75" hidden="false" customHeight="true" outlineLevel="0" collapsed="false">
      <c r="A11" s="68" t="n">
        <v>46174</v>
      </c>
      <c r="B11" s="69"/>
      <c r="C11" s="69"/>
      <c r="D11" s="69"/>
      <c r="E11" s="69"/>
      <c r="F11" s="69"/>
      <c r="G11" s="69"/>
      <c r="H11" s="69"/>
    </row>
    <row r="12" customFormat="false" ht="27.75" hidden="false" customHeight="true" outlineLevel="0" collapsed="false">
      <c r="A12" s="65" t="n">
        <v>46175</v>
      </c>
      <c r="B12" s="66"/>
      <c r="C12" s="66"/>
      <c r="D12" s="66"/>
      <c r="E12" s="66"/>
      <c r="F12" s="66"/>
      <c r="G12" s="66"/>
      <c r="H12" s="66"/>
    </row>
    <row r="13" customFormat="false" ht="27.75" hidden="false" customHeight="true" outlineLevel="0" collapsed="false">
      <c r="A13" s="68" t="n">
        <v>46176</v>
      </c>
      <c r="B13" s="69"/>
      <c r="C13" s="69"/>
      <c r="D13" s="69"/>
      <c r="E13" s="69"/>
      <c r="F13" s="69"/>
      <c r="G13" s="69"/>
      <c r="H13" s="69"/>
    </row>
    <row r="14" customFormat="false" ht="27.75" hidden="false" customHeight="true" outlineLevel="0" collapsed="false">
      <c r="A14" s="65" t="n">
        <v>46177</v>
      </c>
      <c r="B14" s="66"/>
      <c r="C14" s="66"/>
      <c r="D14" s="66"/>
      <c r="E14" s="66"/>
      <c r="F14" s="66"/>
      <c r="G14" s="66"/>
      <c r="H14" s="66"/>
    </row>
    <row r="15" customFormat="false" ht="27.75" hidden="false" customHeight="true" outlineLevel="0" collapsed="false">
      <c r="A15" s="68" t="n">
        <v>46178</v>
      </c>
      <c r="B15" s="69"/>
      <c r="C15" s="69"/>
      <c r="D15" s="69"/>
      <c r="E15" s="69"/>
      <c r="F15" s="69"/>
      <c r="G15" s="69"/>
      <c r="H15" s="6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6"/>
    <col collapsed="false" customWidth="true" hidden="false" outlineLevel="0" max="8" min="8" style="1" width="32"/>
  </cols>
  <sheetData>
    <row r="1" customFormat="false" ht="25.5" hidden="false" customHeight="true" outlineLevel="0" collapsed="false">
      <c r="A1" s="20" t="s">
        <v>193</v>
      </c>
      <c r="B1" s="20"/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A2" s="21" t="s">
        <v>194</v>
      </c>
      <c r="B2" s="21"/>
      <c r="C2" s="21"/>
      <c r="D2" s="21"/>
      <c r="E2" s="21"/>
      <c r="F2" s="21"/>
      <c r="G2" s="21"/>
      <c r="H2" s="21"/>
    </row>
    <row r="3" customFormat="false" ht="36" hidden="false" customHeight="true" outlineLevel="0" collapsed="false">
      <c r="A3" s="10" t="s">
        <v>14</v>
      </c>
      <c r="B3" s="10" t="s">
        <v>195</v>
      </c>
      <c r="C3" s="10" t="s">
        <v>196</v>
      </c>
      <c r="D3" s="10" t="s">
        <v>197</v>
      </c>
      <c r="E3" s="10" t="s">
        <v>198</v>
      </c>
      <c r="F3" s="10" t="s">
        <v>199</v>
      </c>
      <c r="G3" s="10" t="s">
        <v>200</v>
      </c>
      <c r="H3" s="10" t="s">
        <v>23</v>
      </c>
    </row>
    <row r="4" customFormat="false" ht="27.75" hidden="false" customHeight="true" outlineLevel="0" collapsed="false">
      <c r="A4" s="65" t="n">
        <v>46167</v>
      </c>
      <c r="B4" s="66"/>
      <c r="C4" s="66"/>
      <c r="D4" s="66"/>
      <c r="E4" s="66"/>
      <c r="F4" s="66"/>
      <c r="G4" s="66"/>
      <c r="H4" s="66"/>
    </row>
    <row r="5" customFormat="false" ht="27.75" hidden="false" customHeight="true" outlineLevel="0" collapsed="false">
      <c r="A5" s="68" t="n">
        <v>46168</v>
      </c>
      <c r="B5" s="69"/>
      <c r="C5" s="69"/>
      <c r="D5" s="69"/>
      <c r="E5" s="69"/>
      <c r="F5" s="69"/>
      <c r="G5" s="69"/>
      <c r="H5" s="69"/>
    </row>
    <row r="6" customFormat="false" ht="27.75" hidden="false" customHeight="true" outlineLevel="0" collapsed="false">
      <c r="A6" s="65" t="n">
        <v>46169</v>
      </c>
      <c r="B6" s="66"/>
      <c r="C6" s="66"/>
      <c r="D6" s="66"/>
      <c r="E6" s="66"/>
      <c r="F6" s="66"/>
      <c r="G6" s="66"/>
      <c r="H6" s="66"/>
    </row>
    <row r="7" customFormat="false" ht="27.75" hidden="false" customHeight="true" outlineLevel="0" collapsed="false">
      <c r="A7" s="68" t="n">
        <v>46170</v>
      </c>
      <c r="B7" s="69"/>
      <c r="C7" s="69"/>
      <c r="D7" s="69"/>
      <c r="E7" s="69"/>
      <c r="F7" s="69"/>
      <c r="G7" s="69"/>
      <c r="H7" s="69"/>
    </row>
    <row r="8" customFormat="false" ht="27.75" hidden="false" customHeight="true" outlineLevel="0" collapsed="false">
      <c r="A8" s="65" t="n">
        <v>46171</v>
      </c>
      <c r="B8" s="66"/>
      <c r="C8" s="66"/>
      <c r="D8" s="66"/>
      <c r="E8" s="66"/>
      <c r="F8" s="66"/>
      <c r="G8" s="66"/>
      <c r="H8" s="66"/>
    </row>
    <row r="9" customFormat="false" ht="27.75" hidden="false" customHeight="true" outlineLevel="0" collapsed="false">
      <c r="A9" s="68" t="n">
        <v>46172</v>
      </c>
      <c r="B9" s="69"/>
      <c r="C9" s="69"/>
      <c r="D9" s="69"/>
      <c r="E9" s="69"/>
      <c r="F9" s="69"/>
      <c r="G9" s="69"/>
      <c r="H9" s="69"/>
    </row>
    <row r="10" customFormat="false" ht="27.75" hidden="false" customHeight="true" outlineLevel="0" collapsed="false">
      <c r="A10" s="65" t="n">
        <v>46173</v>
      </c>
      <c r="B10" s="66"/>
      <c r="C10" s="66"/>
      <c r="D10" s="66"/>
      <c r="E10" s="66"/>
      <c r="F10" s="66"/>
      <c r="G10" s="66"/>
      <c r="H10" s="66"/>
    </row>
    <row r="11" customFormat="false" ht="27.75" hidden="false" customHeight="true" outlineLevel="0" collapsed="false">
      <c r="A11" s="68" t="n">
        <v>46174</v>
      </c>
      <c r="B11" s="69"/>
      <c r="C11" s="69"/>
      <c r="D11" s="69"/>
      <c r="E11" s="69"/>
      <c r="F11" s="69"/>
      <c r="G11" s="69"/>
      <c r="H11" s="69"/>
    </row>
    <row r="12" customFormat="false" ht="27.75" hidden="false" customHeight="true" outlineLevel="0" collapsed="false">
      <c r="A12" s="65" t="n">
        <v>46175</v>
      </c>
      <c r="B12" s="66"/>
      <c r="C12" s="66"/>
      <c r="D12" s="66"/>
      <c r="E12" s="66"/>
      <c r="F12" s="66"/>
      <c r="G12" s="66"/>
      <c r="H12" s="66"/>
    </row>
    <row r="13" customFormat="false" ht="27.75" hidden="false" customHeight="true" outlineLevel="0" collapsed="false">
      <c r="A13" s="68" t="n">
        <v>46176</v>
      </c>
      <c r="B13" s="69"/>
      <c r="C13" s="69"/>
      <c r="D13" s="69"/>
      <c r="E13" s="69"/>
      <c r="F13" s="69"/>
      <c r="G13" s="69"/>
      <c r="H13" s="69"/>
    </row>
    <row r="14" customFormat="false" ht="27.75" hidden="false" customHeight="true" outlineLevel="0" collapsed="false">
      <c r="A14" s="65" t="n">
        <v>46177</v>
      </c>
      <c r="B14" s="66"/>
      <c r="C14" s="66"/>
      <c r="D14" s="66"/>
      <c r="E14" s="66"/>
      <c r="F14" s="66"/>
      <c r="G14" s="66"/>
      <c r="H14" s="66"/>
    </row>
    <row r="15" customFormat="false" ht="27.75" hidden="false" customHeight="true" outlineLevel="0" collapsed="false">
      <c r="A15" s="68" t="n">
        <v>46178</v>
      </c>
      <c r="B15" s="69"/>
      <c r="C15" s="69"/>
      <c r="D15" s="69"/>
      <c r="E15" s="69"/>
      <c r="F15" s="69"/>
      <c r="G15" s="69"/>
      <c r="H15" s="69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4:G15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  <col collapsed="false" customWidth="true" hidden="false" outlineLevel="0" max="9" min="9" style="1" width="32"/>
  </cols>
  <sheetData>
    <row r="1" customFormat="false" ht="25.5" hidden="false" customHeight="true" outlineLevel="0" collapsed="false">
      <c r="A1" s="20" t="s">
        <v>201</v>
      </c>
      <c r="B1" s="20"/>
      <c r="C1" s="20"/>
      <c r="D1" s="20"/>
      <c r="E1" s="20"/>
      <c r="F1" s="20"/>
      <c r="G1" s="20"/>
      <c r="H1" s="20"/>
      <c r="I1" s="20"/>
    </row>
    <row r="2" customFormat="false" ht="19.5" hidden="false" customHeight="true" outlineLevel="0" collapsed="false">
      <c r="A2" s="21" t="s">
        <v>202</v>
      </c>
      <c r="B2" s="21"/>
      <c r="C2" s="21"/>
      <c r="D2" s="21"/>
      <c r="E2" s="21"/>
      <c r="F2" s="21"/>
      <c r="G2" s="21"/>
      <c r="H2" s="21"/>
      <c r="I2" s="21"/>
    </row>
    <row r="3" customFormat="false" ht="36" hidden="false" customHeight="true" outlineLevel="0" collapsed="false">
      <c r="A3" s="10" t="s">
        <v>14</v>
      </c>
      <c r="B3" s="10" t="s">
        <v>203</v>
      </c>
      <c r="C3" s="10" t="s">
        <v>204</v>
      </c>
      <c r="D3" s="10" t="s">
        <v>205</v>
      </c>
      <c r="E3" s="10" t="s">
        <v>206</v>
      </c>
      <c r="F3" s="10" t="s">
        <v>207</v>
      </c>
      <c r="G3" s="10" t="s">
        <v>208</v>
      </c>
      <c r="H3" s="10" t="s">
        <v>209</v>
      </c>
      <c r="I3" s="10" t="s">
        <v>23</v>
      </c>
    </row>
    <row r="4" customFormat="false" ht="27.75" hidden="false" customHeight="true" outlineLevel="0" collapsed="false">
      <c r="A4" s="65" t="n">
        <v>46167</v>
      </c>
      <c r="B4" s="71"/>
      <c r="C4" s="71"/>
      <c r="D4" s="71"/>
      <c r="E4" s="71"/>
      <c r="F4" s="71"/>
      <c r="G4" s="66"/>
      <c r="H4" s="66"/>
      <c r="I4" s="66"/>
    </row>
    <row r="5" customFormat="false" ht="27.75" hidden="false" customHeight="true" outlineLevel="0" collapsed="false">
      <c r="A5" s="68" t="n">
        <v>46168</v>
      </c>
      <c r="B5" s="72"/>
      <c r="C5" s="72"/>
      <c r="D5" s="72"/>
      <c r="E5" s="72"/>
      <c r="F5" s="72"/>
      <c r="G5" s="69"/>
      <c r="H5" s="69"/>
      <c r="I5" s="69"/>
    </row>
    <row r="6" customFormat="false" ht="27.75" hidden="false" customHeight="true" outlineLevel="0" collapsed="false">
      <c r="A6" s="65" t="n">
        <v>46169</v>
      </c>
      <c r="B6" s="71"/>
      <c r="C6" s="71"/>
      <c r="D6" s="71"/>
      <c r="E6" s="71"/>
      <c r="F6" s="71"/>
      <c r="G6" s="66"/>
      <c r="H6" s="66"/>
      <c r="I6" s="66"/>
    </row>
    <row r="7" customFormat="false" ht="27.75" hidden="false" customHeight="true" outlineLevel="0" collapsed="false">
      <c r="A7" s="68" t="n">
        <v>46170</v>
      </c>
      <c r="B7" s="72"/>
      <c r="C7" s="72"/>
      <c r="D7" s="72"/>
      <c r="E7" s="72"/>
      <c r="F7" s="72"/>
      <c r="G7" s="69"/>
      <c r="H7" s="69"/>
      <c r="I7" s="69"/>
    </row>
    <row r="8" customFormat="false" ht="27.75" hidden="false" customHeight="true" outlineLevel="0" collapsed="false">
      <c r="A8" s="65" t="n">
        <v>46171</v>
      </c>
      <c r="B8" s="71"/>
      <c r="C8" s="71"/>
      <c r="D8" s="71"/>
      <c r="E8" s="71"/>
      <c r="F8" s="71"/>
      <c r="G8" s="66"/>
      <c r="H8" s="66"/>
      <c r="I8" s="66"/>
    </row>
    <row r="9" customFormat="false" ht="27.75" hidden="false" customHeight="true" outlineLevel="0" collapsed="false">
      <c r="A9" s="68" t="n">
        <v>46172</v>
      </c>
      <c r="B9" s="72"/>
      <c r="C9" s="72"/>
      <c r="D9" s="72"/>
      <c r="E9" s="72"/>
      <c r="F9" s="72"/>
      <c r="G9" s="69"/>
      <c r="H9" s="69"/>
      <c r="I9" s="69"/>
    </row>
    <row r="10" customFormat="false" ht="27.75" hidden="false" customHeight="true" outlineLevel="0" collapsed="false">
      <c r="A10" s="65" t="n">
        <v>46173</v>
      </c>
      <c r="B10" s="71"/>
      <c r="C10" s="71"/>
      <c r="D10" s="71"/>
      <c r="E10" s="71"/>
      <c r="F10" s="71"/>
      <c r="G10" s="66"/>
      <c r="H10" s="66"/>
      <c r="I10" s="66"/>
    </row>
    <row r="11" customFormat="false" ht="27.75" hidden="false" customHeight="true" outlineLevel="0" collapsed="false">
      <c r="A11" s="68" t="n">
        <v>46174</v>
      </c>
      <c r="B11" s="72"/>
      <c r="C11" s="72"/>
      <c r="D11" s="72"/>
      <c r="E11" s="72"/>
      <c r="F11" s="72"/>
      <c r="G11" s="69"/>
      <c r="H11" s="69"/>
      <c r="I11" s="69"/>
    </row>
    <row r="12" customFormat="false" ht="27.75" hidden="false" customHeight="true" outlineLevel="0" collapsed="false">
      <c r="A12" s="65" t="n">
        <v>46175</v>
      </c>
      <c r="B12" s="71"/>
      <c r="C12" s="71"/>
      <c r="D12" s="71"/>
      <c r="E12" s="71"/>
      <c r="F12" s="71"/>
      <c r="G12" s="66"/>
      <c r="H12" s="66"/>
      <c r="I12" s="66"/>
    </row>
    <row r="13" customFormat="false" ht="27.75" hidden="false" customHeight="true" outlineLevel="0" collapsed="false">
      <c r="A13" s="68" t="n">
        <v>46176</v>
      </c>
      <c r="B13" s="72"/>
      <c r="C13" s="72"/>
      <c r="D13" s="72"/>
      <c r="E13" s="72"/>
      <c r="F13" s="72"/>
      <c r="G13" s="69"/>
      <c r="H13" s="69"/>
      <c r="I13" s="69"/>
    </row>
    <row r="14" customFormat="false" ht="27.75" hidden="false" customHeight="true" outlineLevel="0" collapsed="false">
      <c r="A14" s="65" t="n">
        <v>46177</v>
      </c>
      <c r="B14" s="71"/>
      <c r="C14" s="71"/>
      <c r="D14" s="71"/>
      <c r="E14" s="71"/>
      <c r="F14" s="71"/>
      <c r="G14" s="66"/>
      <c r="H14" s="66"/>
      <c r="I14" s="66"/>
    </row>
    <row r="15" customFormat="false" ht="27.75" hidden="false" customHeight="true" outlineLevel="0" collapsed="false">
      <c r="A15" s="68" t="n">
        <v>46178</v>
      </c>
      <c r="B15" s="72"/>
      <c r="C15" s="72"/>
      <c r="D15" s="72"/>
      <c r="E15" s="72"/>
      <c r="F15" s="72"/>
      <c r="G15" s="69"/>
      <c r="H15" s="69"/>
      <c r="I15" s="6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4:H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6"/>
    <col collapsed="false" customWidth="true" hidden="false" outlineLevel="0" max="6" min="6" style="1" width="32"/>
  </cols>
  <sheetData>
    <row r="1" customFormat="false" ht="25.5" hidden="false" customHeight="true" outlineLevel="0" collapsed="false">
      <c r="A1" s="20" t="s">
        <v>210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1" t="s">
        <v>211</v>
      </c>
      <c r="B2" s="21"/>
      <c r="C2" s="21"/>
      <c r="D2" s="21"/>
      <c r="E2" s="21"/>
      <c r="F2" s="21"/>
    </row>
    <row r="3" customFormat="false" ht="36" hidden="false" customHeight="true" outlineLevel="0" collapsed="false">
      <c r="A3" s="10" t="s">
        <v>14</v>
      </c>
      <c r="B3" s="10" t="s">
        <v>212</v>
      </c>
      <c r="C3" s="10" t="s">
        <v>213</v>
      </c>
      <c r="D3" s="10" t="s">
        <v>214</v>
      </c>
      <c r="E3" s="10" t="s">
        <v>215</v>
      </c>
      <c r="F3" s="10" t="s">
        <v>23</v>
      </c>
    </row>
    <row r="4" customFormat="false" ht="27.75" hidden="false" customHeight="true" outlineLevel="0" collapsed="false">
      <c r="A4" s="65" t="n">
        <v>46167</v>
      </c>
      <c r="B4" s="66"/>
      <c r="C4" s="66"/>
      <c r="D4" s="66"/>
      <c r="E4" s="66"/>
      <c r="F4" s="66"/>
    </row>
    <row r="5" customFormat="false" ht="27.75" hidden="false" customHeight="true" outlineLevel="0" collapsed="false">
      <c r="A5" s="68" t="n">
        <v>46168</v>
      </c>
      <c r="B5" s="69"/>
      <c r="C5" s="69"/>
      <c r="D5" s="69"/>
      <c r="E5" s="69"/>
      <c r="F5" s="69"/>
    </row>
    <row r="6" customFormat="false" ht="27.75" hidden="false" customHeight="true" outlineLevel="0" collapsed="false">
      <c r="A6" s="65" t="n">
        <v>46169</v>
      </c>
      <c r="B6" s="66"/>
      <c r="C6" s="66"/>
      <c r="D6" s="66"/>
      <c r="E6" s="66"/>
      <c r="F6" s="66"/>
    </row>
    <row r="7" customFormat="false" ht="27.75" hidden="false" customHeight="true" outlineLevel="0" collapsed="false">
      <c r="A7" s="68" t="n">
        <v>46170</v>
      </c>
      <c r="B7" s="69"/>
      <c r="C7" s="69"/>
      <c r="D7" s="69"/>
      <c r="E7" s="69"/>
      <c r="F7" s="69"/>
    </row>
    <row r="8" customFormat="false" ht="27.75" hidden="false" customHeight="true" outlineLevel="0" collapsed="false">
      <c r="A8" s="65" t="n">
        <v>46171</v>
      </c>
      <c r="B8" s="66"/>
      <c r="C8" s="66"/>
      <c r="D8" s="66"/>
      <c r="E8" s="66"/>
      <c r="F8" s="66"/>
    </row>
    <row r="9" customFormat="false" ht="27.75" hidden="false" customHeight="true" outlineLevel="0" collapsed="false">
      <c r="A9" s="68" t="n">
        <v>46172</v>
      </c>
      <c r="B9" s="69"/>
      <c r="C9" s="69"/>
      <c r="D9" s="69"/>
      <c r="E9" s="69"/>
      <c r="F9" s="69"/>
    </row>
    <row r="10" customFormat="false" ht="27.75" hidden="false" customHeight="true" outlineLevel="0" collapsed="false">
      <c r="A10" s="65" t="n">
        <v>46173</v>
      </c>
      <c r="B10" s="66"/>
      <c r="C10" s="66"/>
      <c r="D10" s="66"/>
      <c r="E10" s="66"/>
      <c r="F10" s="66"/>
    </row>
    <row r="11" customFormat="false" ht="27.75" hidden="false" customHeight="true" outlineLevel="0" collapsed="false">
      <c r="A11" s="68" t="n">
        <v>46174</v>
      </c>
      <c r="B11" s="69"/>
      <c r="C11" s="69"/>
      <c r="D11" s="69"/>
      <c r="E11" s="69"/>
      <c r="F11" s="69"/>
    </row>
    <row r="12" customFormat="false" ht="27.75" hidden="false" customHeight="true" outlineLevel="0" collapsed="false">
      <c r="A12" s="65" t="n">
        <v>46175</v>
      </c>
      <c r="B12" s="66"/>
      <c r="C12" s="66"/>
      <c r="D12" s="66"/>
      <c r="E12" s="66"/>
      <c r="F12" s="66"/>
    </row>
    <row r="13" customFormat="false" ht="27.75" hidden="false" customHeight="true" outlineLevel="0" collapsed="false">
      <c r="A13" s="68" t="n">
        <v>46176</v>
      </c>
      <c r="B13" s="69"/>
      <c r="C13" s="69"/>
      <c r="D13" s="69"/>
      <c r="E13" s="69"/>
      <c r="F13" s="69"/>
    </row>
    <row r="14" customFormat="false" ht="27.75" hidden="false" customHeight="true" outlineLevel="0" collapsed="false">
      <c r="A14" s="65" t="n">
        <v>46177</v>
      </c>
      <c r="B14" s="66"/>
      <c r="C14" s="66"/>
      <c r="D14" s="66"/>
      <c r="E14" s="66"/>
      <c r="F14" s="66"/>
    </row>
    <row r="15" customFormat="false" ht="27.75" hidden="false" customHeight="true" outlineLevel="0" collapsed="false">
      <c r="A15" s="68" t="n">
        <v>46178</v>
      </c>
      <c r="B15" s="69"/>
      <c r="C15" s="69"/>
      <c r="D15" s="69"/>
      <c r="E15" s="69"/>
      <c r="F15" s="69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4:E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6"/>
  </cols>
  <sheetData>
    <row r="1" customFormat="false" ht="25.5" hidden="false" customHeight="true" outlineLevel="0" collapsed="false">
      <c r="A1" s="20" t="s">
        <v>216</v>
      </c>
      <c r="B1" s="20"/>
      <c r="C1" s="20"/>
      <c r="D1" s="20"/>
      <c r="E1" s="20"/>
      <c r="F1" s="20"/>
      <c r="G1" s="20"/>
    </row>
    <row r="2" customFormat="false" ht="19.5" hidden="false" customHeight="true" outlineLevel="0" collapsed="false">
      <c r="A2" s="21" t="s">
        <v>217</v>
      </c>
      <c r="B2" s="21"/>
      <c r="C2" s="21"/>
      <c r="D2" s="21"/>
      <c r="E2" s="21"/>
      <c r="F2" s="21"/>
      <c r="G2" s="21"/>
    </row>
    <row r="3" customFormat="false" ht="31.5" hidden="false" customHeight="true" outlineLevel="0" collapsed="false">
      <c r="A3" s="10" t="s">
        <v>14</v>
      </c>
      <c r="B3" s="10" t="s">
        <v>218</v>
      </c>
      <c r="C3" s="10" t="s">
        <v>219</v>
      </c>
      <c r="D3" s="10" t="s">
        <v>220</v>
      </c>
      <c r="E3" s="10" t="s">
        <v>221</v>
      </c>
      <c r="F3" s="10" t="s">
        <v>222</v>
      </c>
      <c r="G3" s="10" t="s">
        <v>223</v>
      </c>
    </row>
    <row r="4" customFormat="false" ht="24" hidden="false" customHeight="true" outlineLevel="0" collapsed="false">
      <c r="A4" s="73" t="n">
        <v>46167</v>
      </c>
      <c r="B4" s="66" t="s">
        <v>224</v>
      </c>
      <c r="C4" s="66" t="n">
        <f aca="false">IFERROR(VLOOKUP(A4,'Anjali Log'!A:F,6,FALSE()),0)+IFERROR(VLOOKUP(A4,'Samiksha Log'!A:F,6,FALSE()),0)</f>
        <v>0</v>
      </c>
      <c r="D4" s="66" t="n">
        <f aca="false">IFERROR(VLOOKUP(A4,'Madhu Log'!A:C,3,FALSE()),0)</f>
        <v>0</v>
      </c>
      <c r="E4" s="66" t="str">
        <f aca="false">IF(C4=D4,"✓ MATCH","✗ MISMATCH")</f>
        <v>✓ MATCH</v>
      </c>
      <c r="F4" s="66" t="n">
        <f aca="false">ABS(C4-D4)</f>
        <v>0</v>
      </c>
      <c r="G4" s="66" t="str">
        <f aca="false">IF(C4=D4,"OK","Call Anjali/Samiksha + Madhu")</f>
        <v>OK</v>
      </c>
    </row>
    <row r="5" customFormat="false" ht="24" hidden="false" customHeight="true" outlineLevel="0" collapsed="false">
      <c r="A5" s="74" t="n">
        <v>46167</v>
      </c>
      <c r="B5" s="69" t="s">
        <v>225</v>
      </c>
      <c r="C5" s="69" t="n">
        <f aca="false">IFERROR(VLOOKUP(A5,'Madhu Log'!A:F,6,FALSE()),0)</f>
        <v>0</v>
      </c>
      <c r="D5" s="69" t="str">
        <f aca="false">IF(IFERROR(VLOOKUP(A5,'Bawankar Log'!A:C,3,FALSE()),0)&gt;0,"Cash received","No cash")</f>
        <v>No cash</v>
      </c>
      <c r="E5" s="69" t="str">
        <f aca="false">IF(AND(C5&gt;0,D5="No cash"),"✗ MISMATCH",IF(AND(C5=0,D5="No cash"),"✓ MATCH",IF(AND(C5&gt;0,D5="Cash received"),"✓ MATCH","⚠ Check")))</f>
        <v>✓ MATCH</v>
      </c>
      <c r="F5" s="69" t="s">
        <v>226</v>
      </c>
      <c r="G5" s="69" t="str">
        <f aca="false">IF(LEFT(E5,1)="✓","OK","Confirm with Bawankar")</f>
        <v>OK</v>
      </c>
    </row>
    <row r="6" customFormat="false" ht="24" hidden="false" customHeight="true" outlineLevel="0" collapsed="false">
      <c r="A6" s="73" t="n">
        <v>46168</v>
      </c>
      <c r="B6" s="66" t="s">
        <v>224</v>
      </c>
      <c r="C6" s="66" t="n">
        <f aca="false">IFERROR(VLOOKUP(A6,'Anjali Log'!A:F,6,FALSE()),0)+IFERROR(VLOOKUP(A6,'Samiksha Log'!A:F,6,FALSE()),0)</f>
        <v>0</v>
      </c>
      <c r="D6" s="66" t="n">
        <f aca="false">IFERROR(VLOOKUP(A6,'Madhu Log'!A:C,3,FALSE()),0)</f>
        <v>0</v>
      </c>
      <c r="E6" s="66" t="str">
        <f aca="false">IF(C6=D6,"✓ MATCH","✗ MISMATCH")</f>
        <v>✓ MATCH</v>
      </c>
      <c r="F6" s="66" t="n">
        <f aca="false">ABS(C6-D6)</f>
        <v>0</v>
      </c>
      <c r="G6" s="66" t="str">
        <f aca="false">IF(C6=D6,"OK","Call Anjali/Samiksha + Madhu")</f>
        <v>OK</v>
      </c>
    </row>
    <row r="7" customFormat="false" ht="24" hidden="false" customHeight="true" outlineLevel="0" collapsed="false">
      <c r="A7" s="74" t="n">
        <v>46168</v>
      </c>
      <c r="B7" s="69" t="s">
        <v>225</v>
      </c>
      <c r="C7" s="69" t="n">
        <f aca="false">IFERROR(VLOOKUP(A7,'Madhu Log'!A:F,6,FALSE()),0)</f>
        <v>0</v>
      </c>
      <c r="D7" s="69" t="str">
        <f aca="false">IF(IFERROR(VLOOKUP(A7,'Bawankar Log'!A:C,3,FALSE()),0)&gt;0,"Cash received","No cash")</f>
        <v>No cash</v>
      </c>
      <c r="E7" s="69" t="str">
        <f aca="false">IF(AND(C7&gt;0,D7="No cash"),"✗ MISMATCH",IF(AND(C7=0,D7="No cash"),"✓ MATCH",IF(AND(C7&gt;0,D7="Cash received"),"✓ MATCH","⚠ Check")))</f>
        <v>✓ MATCH</v>
      </c>
      <c r="F7" s="69" t="s">
        <v>226</v>
      </c>
      <c r="G7" s="69" t="str">
        <f aca="false">IF(LEFT(E7,1)="✓","OK","Confirm with Bawankar")</f>
        <v>OK</v>
      </c>
    </row>
    <row r="8" customFormat="false" ht="24" hidden="false" customHeight="true" outlineLevel="0" collapsed="false">
      <c r="A8" s="73" t="n">
        <v>46169</v>
      </c>
      <c r="B8" s="66" t="s">
        <v>224</v>
      </c>
      <c r="C8" s="66" t="n">
        <f aca="false">IFERROR(VLOOKUP(A8,'Anjali Log'!A:F,6,FALSE()),0)+IFERROR(VLOOKUP(A8,'Samiksha Log'!A:F,6,FALSE()),0)</f>
        <v>0</v>
      </c>
      <c r="D8" s="66" t="n">
        <f aca="false">IFERROR(VLOOKUP(A8,'Madhu Log'!A:C,3,FALSE()),0)</f>
        <v>0</v>
      </c>
      <c r="E8" s="66" t="str">
        <f aca="false">IF(C8=D8,"✓ MATCH","✗ MISMATCH")</f>
        <v>✓ MATCH</v>
      </c>
      <c r="F8" s="66" t="n">
        <f aca="false">ABS(C8-D8)</f>
        <v>0</v>
      </c>
      <c r="G8" s="66" t="str">
        <f aca="false">IF(C8=D8,"OK","Call Anjali/Samiksha + Madhu")</f>
        <v>OK</v>
      </c>
    </row>
    <row r="9" customFormat="false" ht="24" hidden="false" customHeight="true" outlineLevel="0" collapsed="false">
      <c r="A9" s="74" t="n">
        <v>46169</v>
      </c>
      <c r="B9" s="69" t="s">
        <v>225</v>
      </c>
      <c r="C9" s="69" t="n">
        <f aca="false">IFERROR(VLOOKUP(A9,'Madhu Log'!A:F,6,FALSE()),0)</f>
        <v>0</v>
      </c>
      <c r="D9" s="69" t="str">
        <f aca="false">IF(IFERROR(VLOOKUP(A9,'Bawankar Log'!A:C,3,FALSE()),0)&gt;0,"Cash received","No cash")</f>
        <v>No cash</v>
      </c>
      <c r="E9" s="69" t="str">
        <f aca="false">IF(AND(C9&gt;0,D9="No cash"),"✗ MISMATCH",IF(AND(C9=0,D9="No cash"),"✓ MATCH",IF(AND(C9&gt;0,D9="Cash received"),"✓ MATCH","⚠ Check")))</f>
        <v>✓ MATCH</v>
      </c>
      <c r="F9" s="69" t="s">
        <v>226</v>
      </c>
      <c r="G9" s="69" t="str">
        <f aca="false">IF(LEFT(E9,1)="✓","OK","Confirm with Bawankar")</f>
        <v>OK</v>
      </c>
    </row>
    <row r="10" customFormat="false" ht="24" hidden="false" customHeight="true" outlineLevel="0" collapsed="false">
      <c r="A10" s="73" t="n">
        <v>46170</v>
      </c>
      <c r="B10" s="66" t="s">
        <v>224</v>
      </c>
      <c r="C10" s="66" t="n">
        <f aca="false">IFERROR(VLOOKUP(A10,'Anjali Log'!A:F,6,FALSE()),0)+IFERROR(VLOOKUP(A10,'Samiksha Log'!A:F,6,FALSE()),0)</f>
        <v>0</v>
      </c>
      <c r="D10" s="66" t="n">
        <f aca="false">IFERROR(VLOOKUP(A10,'Madhu Log'!A:C,3,FALSE()),0)</f>
        <v>0</v>
      </c>
      <c r="E10" s="66" t="str">
        <f aca="false">IF(C10=D10,"✓ MATCH","✗ MISMATCH")</f>
        <v>✓ MATCH</v>
      </c>
      <c r="F10" s="66" t="n">
        <f aca="false">ABS(C10-D10)</f>
        <v>0</v>
      </c>
      <c r="G10" s="66" t="str">
        <f aca="false">IF(C10=D10,"OK","Call Anjali/Samiksha + Madhu")</f>
        <v>OK</v>
      </c>
    </row>
    <row r="11" customFormat="false" ht="24" hidden="false" customHeight="true" outlineLevel="0" collapsed="false">
      <c r="A11" s="74" t="n">
        <v>46170</v>
      </c>
      <c r="B11" s="69" t="s">
        <v>225</v>
      </c>
      <c r="C11" s="69" t="n">
        <f aca="false">IFERROR(VLOOKUP(A11,'Madhu Log'!A:F,6,FALSE()),0)</f>
        <v>0</v>
      </c>
      <c r="D11" s="69" t="str">
        <f aca="false">IF(IFERROR(VLOOKUP(A11,'Bawankar Log'!A:C,3,FALSE()),0)&gt;0,"Cash received","No cash")</f>
        <v>No cash</v>
      </c>
      <c r="E11" s="69" t="str">
        <f aca="false">IF(AND(C11&gt;0,D11="No cash"),"✗ MISMATCH",IF(AND(C11=0,D11="No cash"),"✓ MATCH",IF(AND(C11&gt;0,D11="Cash received"),"✓ MATCH","⚠ Check")))</f>
        <v>✓ MATCH</v>
      </c>
      <c r="F11" s="69" t="s">
        <v>226</v>
      </c>
      <c r="G11" s="69" t="str">
        <f aca="false">IF(LEFT(E11,1)="✓","OK","Confirm with Bawankar")</f>
        <v>OK</v>
      </c>
    </row>
    <row r="12" customFormat="false" ht="24" hidden="false" customHeight="true" outlineLevel="0" collapsed="false">
      <c r="A12" s="73" t="n">
        <v>46171</v>
      </c>
      <c r="B12" s="66" t="s">
        <v>224</v>
      </c>
      <c r="C12" s="66" t="n">
        <f aca="false">IFERROR(VLOOKUP(A12,'Anjali Log'!A:F,6,FALSE()),0)+IFERROR(VLOOKUP(A12,'Samiksha Log'!A:F,6,FALSE()),0)</f>
        <v>0</v>
      </c>
      <c r="D12" s="66" t="n">
        <f aca="false">IFERROR(VLOOKUP(A12,'Madhu Log'!A:C,3,FALSE()),0)</f>
        <v>0</v>
      </c>
      <c r="E12" s="66" t="str">
        <f aca="false">IF(C12=D12,"✓ MATCH","✗ MISMATCH")</f>
        <v>✓ MATCH</v>
      </c>
      <c r="F12" s="66" t="n">
        <f aca="false">ABS(C12-D12)</f>
        <v>0</v>
      </c>
      <c r="G12" s="66" t="str">
        <f aca="false">IF(C12=D12,"OK","Call Anjali/Samiksha + Madhu")</f>
        <v>OK</v>
      </c>
    </row>
    <row r="13" customFormat="false" ht="24" hidden="false" customHeight="true" outlineLevel="0" collapsed="false">
      <c r="A13" s="74" t="n">
        <v>46171</v>
      </c>
      <c r="B13" s="69" t="s">
        <v>225</v>
      </c>
      <c r="C13" s="69" t="n">
        <f aca="false">IFERROR(VLOOKUP(A13,'Madhu Log'!A:F,6,FALSE()),0)</f>
        <v>0</v>
      </c>
      <c r="D13" s="69" t="str">
        <f aca="false">IF(IFERROR(VLOOKUP(A13,'Bawankar Log'!A:C,3,FALSE()),0)&gt;0,"Cash received","No cash")</f>
        <v>No cash</v>
      </c>
      <c r="E13" s="69" t="str">
        <f aca="false">IF(AND(C13&gt;0,D13="No cash"),"✗ MISMATCH",IF(AND(C13=0,D13="No cash"),"✓ MATCH",IF(AND(C13&gt;0,D13="Cash received"),"✓ MATCH","⚠ Check")))</f>
        <v>✓ MATCH</v>
      </c>
      <c r="F13" s="69" t="s">
        <v>226</v>
      </c>
      <c r="G13" s="69" t="str">
        <f aca="false">IF(LEFT(E13,1)="✓","OK","Confirm with Bawankar")</f>
        <v>OK</v>
      </c>
    </row>
    <row r="14" customFormat="false" ht="24" hidden="false" customHeight="true" outlineLevel="0" collapsed="false">
      <c r="A14" s="73" t="n">
        <v>46172</v>
      </c>
      <c r="B14" s="66" t="s">
        <v>224</v>
      </c>
      <c r="C14" s="66" t="n">
        <f aca="false">IFERROR(VLOOKUP(A14,'Anjali Log'!A:F,6,FALSE()),0)+IFERROR(VLOOKUP(A14,'Samiksha Log'!A:F,6,FALSE()),0)</f>
        <v>0</v>
      </c>
      <c r="D14" s="66" t="n">
        <f aca="false">IFERROR(VLOOKUP(A14,'Madhu Log'!A:C,3,FALSE()),0)</f>
        <v>0</v>
      </c>
      <c r="E14" s="66" t="str">
        <f aca="false">IF(C14=D14,"✓ MATCH","✗ MISMATCH")</f>
        <v>✓ MATCH</v>
      </c>
      <c r="F14" s="66" t="n">
        <f aca="false">ABS(C14-D14)</f>
        <v>0</v>
      </c>
      <c r="G14" s="66" t="str">
        <f aca="false">IF(C14=D14,"OK","Call Anjali/Samiksha + Madhu")</f>
        <v>OK</v>
      </c>
    </row>
    <row r="15" customFormat="false" ht="24" hidden="false" customHeight="true" outlineLevel="0" collapsed="false">
      <c r="A15" s="74" t="n">
        <v>46172</v>
      </c>
      <c r="B15" s="69" t="s">
        <v>225</v>
      </c>
      <c r="C15" s="69" t="n">
        <f aca="false">IFERROR(VLOOKUP(A15,'Madhu Log'!A:F,6,FALSE()),0)</f>
        <v>0</v>
      </c>
      <c r="D15" s="69" t="str">
        <f aca="false">IF(IFERROR(VLOOKUP(A15,'Bawankar Log'!A:C,3,FALSE()),0)&gt;0,"Cash received","No cash")</f>
        <v>No cash</v>
      </c>
      <c r="E15" s="69" t="str">
        <f aca="false">IF(AND(C15&gt;0,D15="No cash"),"✗ MISMATCH",IF(AND(C15=0,D15="No cash"),"✓ MATCH",IF(AND(C15&gt;0,D15="Cash received"),"✓ MATCH","⚠ Check")))</f>
        <v>✓ MATCH</v>
      </c>
      <c r="F15" s="69" t="s">
        <v>226</v>
      </c>
      <c r="G15" s="69" t="str">
        <f aca="false">IF(LEFT(E15,1)="✓","OK","Confirm with Bawankar")</f>
        <v>OK</v>
      </c>
    </row>
    <row r="16" customFormat="false" ht="24" hidden="false" customHeight="true" outlineLevel="0" collapsed="false">
      <c r="A16" s="73" t="n">
        <v>46173</v>
      </c>
      <c r="B16" s="66" t="s">
        <v>224</v>
      </c>
      <c r="C16" s="66" t="n">
        <f aca="false">IFERROR(VLOOKUP(A16,'Anjali Log'!A:F,6,FALSE()),0)+IFERROR(VLOOKUP(A16,'Samiksha Log'!A:F,6,FALSE()),0)</f>
        <v>0</v>
      </c>
      <c r="D16" s="66" t="n">
        <f aca="false">IFERROR(VLOOKUP(A16,'Madhu Log'!A:C,3,FALSE()),0)</f>
        <v>0</v>
      </c>
      <c r="E16" s="66" t="str">
        <f aca="false">IF(C16=D16,"✓ MATCH","✗ MISMATCH")</f>
        <v>✓ MATCH</v>
      </c>
      <c r="F16" s="66" t="n">
        <f aca="false">ABS(C16-D16)</f>
        <v>0</v>
      </c>
      <c r="G16" s="66" t="str">
        <f aca="false">IF(C16=D16,"OK","Call Anjali/Samiksha + Madhu")</f>
        <v>OK</v>
      </c>
    </row>
    <row r="17" customFormat="false" ht="24" hidden="false" customHeight="true" outlineLevel="0" collapsed="false">
      <c r="A17" s="74" t="n">
        <v>46173</v>
      </c>
      <c r="B17" s="69" t="s">
        <v>225</v>
      </c>
      <c r="C17" s="69" t="n">
        <f aca="false">IFERROR(VLOOKUP(A17,'Madhu Log'!A:F,6,FALSE()),0)</f>
        <v>0</v>
      </c>
      <c r="D17" s="69" t="str">
        <f aca="false">IF(IFERROR(VLOOKUP(A17,'Bawankar Log'!A:C,3,FALSE()),0)&gt;0,"Cash received","No cash")</f>
        <v>No cash</v>
      </c>
      <c r="E17" s="69" t="str">
        <f aca="false">IF(AND(C17&gt;0,D17="No cash"),"✗ MISMATCH",IF(AND(C17=0,D17="No cash"),"✓ MATCH",IF(AND(C17&gt;0,D17="Cash received"),"✓ MATCH","⚠ Check")))</f>
        <v>✓ MATCH</v>
      </c>
      <c r="F17" s="69" t="s">
        <v>226</v>
      </c>
      <c r="G17" s="69" t="str">
        <f aca="false">IF(LEFT(E17,1)="✓","OK","Confirm with Bawankar")</f>
        <v>OK</v>
      </c>
    </row>
    <row r="18" customFormat="false" ht="24" hidden="false" customHeight="true" outlineLevel="0" collapsed="false">
      <c r="A18" s="73" t="n">
        <v>46174</v>
      </c>
      <c r="B18" s="66" t="s">
        <v>224</v>
      </c>
      <c r="C18" s="66" t="n">
        <f aca="false">IFERROR(VLOOKUP(A18,'Anjali Log'!A:F,6,FALSE()),0)+IFERROR(VLOOKUP(A18,'Samiksha Log'!A:F,6,FALSE()),0)</f>
        <v>0</v>
      </c>
      <c r="D18" s="66" t="n">
        <f aca="false">IFERROR(VLOOKUP(A18,'Madhu Log'!A:C,3,FALSE()),0)</f>
        <v>0</v>
      </c>
      <c r="E18" s="66" t="str">
        <f aca="false">IF(C18=D18,"✓ MATCH","✗ MISMATCH")</f>
        <v>✓ MATCH</v>
      </c>
      <c r="F18" s="66" t="n">
        <f aca="false">ABS(C18-D18)</f>
        <v>0</v>
      </c>
      <c r="G18" s="66" t="str">
        <f aca="false">IF(C18=D18,"OK","Call Anjali/Samiksha + Madhu")</f>
        <v>OK</v>
      </c>
    </row>
    <row r="19" customFormat="false" ht="24" hidden="false" customHeight="true" outlineLevel="0" collapsed="false">
      <c r="A19" s="74" t="n">
        <v>46174</v>
      </c>
      <c r="B19" s="69" t="s">
        <v>225</v>
      </c>
      <c r="C19" s="69" t="n">
        <f aca="false">IFERROR(VLOOKUP(A19,'Madhu Log'!A:F,6,FALSE()),0)</f>
        <v>0</v>
      </c>
      <c r="D19" s="69" t="str">
        <f aca="false">IF(IFERROR(VLOOKUP(A19,'Bawankar Log'!A:C,3,FALSE()),0)&gt;0,"Cash received","No cash")</f>
        <v>No cash</v>
      </c>
      <c r="E19" s="69" t="str">
        <f aca="false">IF(AND(C19&gt;0,D19="No cash"),"✗ MISMATCH",IF(AND(C19=0,D19="No cash"),"✓ MATCH",IF(AND(C19&gt;0,D19="Cash received"),"✓ MATCH","⚠ Check")))</f>
        <v>✓ MATCH</v>
      </c>
      <c r="F19" s="69" t="s">
        <v>226</v>
      </c>
      <c r="G19" s="69" t="str">
        <f aca="false">IF(LEFT(E19,1)="✓","OK","Confirm with Bawankar")</f>
        <v>OK</v>
      </c>
    </row>
    <row r="20" customFormat="false" ht="24" hidden="false" customHeight="true" outlineLevel="0" collapsed="false">
      <c r="A20" s="73" t="n">
        <v>46175</v>
      </c>
      <c r="B20" s="66" t="s">
        <v>224</v>
      </c>
      <c r="C20" s="66" t="n">
        <f aca="false">IFERROR(VLOOKUP(A20,'Anjali Log'!A:F,6,FALSE()),0)+IFERROR(VLOOKUP(A20,'Samiksha Log'!A:F,6,FALSE()),0)</f>
        <v>0</v>
      </c>
      <c r="D20" s="66" t="n">
        <f aca="false">IFERROR(VLOOKUP(A20,'Madhu Log'!A:C,3,FALSE()),0)</f>
        <v>0</v>
      </c>
      <c r="E20" s="66" t="str">
        <f aca="false">IF(C20=D20,"✓ MATCH","✗ MISMATCH")</f>
        <v>✓ MATCH</v>
      </c>
      <c r="F20" s="66" t="n">
        <f aca="false">ABS(C20-D20)</f>
        <v>0</v>
      </c>
      <c r="G20" s="66" t="str">
        <f aca="false">IF(C20=D20,"OK","Call Anjali/Samiksha + Madhu")</f>
        <v>OK</v>
      </c>
    </row>
    <row r="21" customFormat="false" ht="24" hidden="false" customHeight="true" outlineLevel="0" collapsed="false">
      <c r="A21" s="74" t="n">
        <v>46175</v>
      </c>
      <c r="B21" s="69" t="s">
        <v>225</v>
      </c>
      <c r="C21" s="69" t="n">
        <f aca="false">IFERROR(VLOOKUP(A21,'Madhu Log'!A:F,6,FALSE()),0)</f>
        <v>0</v>
      </c>
      <c r="D21" s="69" t="str">
        <f aca="false">IF(IFERROR(VLOOKUP(A21,'Bawankar Log'!A:C,3,FALSE()),0)&gt;0,"Cash received","No cash")</f>
        <v>No cash</v>
      </c>
      <c r="E21" s="69" t="str">
        <f aca="false">IF(AND(C21&gt;0,D21="No cash"),"✗ MISMATCH",IF(AND(C21=0,D21="No cash"),"✓ MATCH",IF(AND(C21&gt;0,D21="Cash received"),"✓ MATCH","⚠ Check")))</f>
        <v>✓ MATCH</v>
      </c>
      <c r="F21" s="69" t="s">
        <v>226</v>
      </c>
      <c r="G21" s="69" t="str">
        <f aca="false">IF(LEFT(E21,1)="✓","OK","Confirm with Bawankar")</f>
        <v>OK</v>
      </c>
    </row>
    <row r="22" customFormat="false" ht="24" hidden="false" customHeight="true" outlineLevel="0" collapsed="false">
      <c r="A22" s="73" t="n">
        <v>46176</v>
      </c>
      <c r="B22" s="66" t="s">
        <v>224</v>
      </c>
      <c r="C22" s="66" t="n">
        <f aca="false">IFERROR(VLOOKUP(A22,'Anjali Log'!A:F,6,FALSE()),0)+IFERROR(VLOOKUP(A22,'Samiksha Log'!A:F,6,FALSE()),0)</f>
        <v>0</v>
      </c>
      <c r="D22" s="66" t="n">
        <f aca="false">IFERROR(VLOOKUP(A22,'Madhu Log'!A:C,3,FALSE()),0)</f>
        <v>0</v>
      </c>
      <c r="E22" s="66" t="str">
        <f aca="false">IF(C22=D22,"✓ MATCH","✗ MISMATCH")</f>
        <v>✓ MATCH</v>
      </c>
      <c r="F22" s="66" t="n">
        <f aca="false">ABS(C22-D22)</f>
        <v>0</v>
      </c>
      <c r="G22" s="66" t="str">
        <f aca="false">IF(C22=D22,"OK","Call Anjali/Samiksha + Madhu")</f>
        <v>OK</v>
      </c>
    </row>
    <row r="23" customFormat="false" ht="24" hidden="false" customHeight="true" outlineLevel="0" collapsed="false">
      <c r="A23" s="74" t="n">
        <v>46176</v>
      </c>
      <c r="B23" s="69" t="s">
        <v>225</v>
      </c>
      <c r="C23" s="69" t="n">
        <f aca="false">IFERROR(VLOOKUP(A23,'Madhu Log'!A:F,6,FALSE()),0)</f>
        <v>0</v>
      </c>
      <c r="D23" s="69" t="str">
        <f aca="false">IF(IFERROR(VLOOKUP(A23,'Bawankar Log'!A:C,3,FALSE()),0)&gt;0,"Cash received","No cash")</f>
        <v>No cash</v>
      </c>
      <c r="E23" s="69" t="str">
        <f aca="false">IF(AND(C23&gt;0,D23="No cash"),"✗ MISMATCH",IF(AND(C23=0,D23="No cash"),"✓ MATCH",IF(AND(C23&gt;0,D23="Cash received"),"✓ MATCH","⚠ Check")))</f>
        <v>✓ MATCH</v>
      </c>
      <c r="F23" s="69" t="s">
        <v>226</v>
      </c>
      <c r="G23" s="69" t="str">
        <f aca="false">IF(LEFT(E23,1)="✓","OK","Confirm with Bawankar")</f>
        <v>OK</v>
      </c>
    </row>
    <row r="24" customFormat="false" ht="24" hidden="false" customHeight="true" outlineLevel="0" collapsed="false">
      <c r="A24" s="73" t="n">
        <v>46177</v>
      </c>
      <c r="B24" s="66" t="s">
        <v>224</v>
      </c>
      <c r="C24" s="66" t="n">
        <f aca="false">IFERROR(VLOOKUP(A24,'Anjali Log'!A:F,6,FALSE()),0)+IFERROR(VLOOKUP(A24,'Samiksha Log'!A:F,6,FALSE()),0)</f>
        <v>0</v>
      </c>
      <c r="D24" s="66" t="n">
        <f aca="false">IFERROR(VLOOKUP(A24,'Madhu Log'!A:C,3,FALSE()),0)</f>
        <v>0</v>
      </c>
      <c r="E24" s="66" t="str">
        <f aca="false">IF(C24=D24,"✓ MATCH","✗ MISMATCH")</f>
        <v>✓ MATCH</v>
      </c>
      <c r="F24" s="66" t="n">
        <f aca="false">ABS(C24-D24)</f>
        <v>0</v>
      </c>
      <c r="G24" s="66" t="str">
        <f aca="false">IF(C24=D24,"OK","Call Anjali/Samiksha + Madhu")</f>
        <v>OK</v>
      </c>
    </row>
    <row r="25" customFormat="false" ht="24" hidden="false" customHeight="true" outlineLevel="0" collapsed="false">
      <c r="A25" s="74" t="n">
        <v>46177</v>
      </c>
      <c r="B25" s="69" t="s">
        <v>225</v>
      </c>
      <c r="C25" s="69" t="n">
        <f aca="false">IFERROR(VLOOKUP(A25,'Madhu Log'!A:F,6,FALSE()),0)</f>
        <v>0</v>
      </c>
      <c r="D25" s="69" t="str">
        <f aca="false">IF(IFERROR(VLOOKUP(A25,'Bawankar Log'!A:C,3,FALSE()),0)&gt;0,"Cash received","No cash")</f>
        <v>No cash</v>
      </c>
      <c r="E25" s="69" t="str">
        <f aca="false">IF(AND(C25&gt;0,D25="No cash"),"✗ MISMATCH",IF(AND(C25=0,D25="No cash"),"✓ MATCH",IF(AND(C25&gt;0,D25="Cash received"),"✓ MATCH","⚠ Check")))</f>
        <v>✓ MATCH</v>
      </c>
      <c r="F25" s="69" t="s">
        <v>226</v>
      </c>
      <c r="G25" s="69" t="str">
        <f aca="false">IF(LEFT(E25,1)="✓","OK","Confirm with Bawankar")</f>
        <v>OK</v>
      </c>
    </row>
    <row r="26" customFormat="false" ht="24" hidden="false" customHeight="true" outlineLevel="0" collapsed="false">
      <c r="A26" s="73" t="n">
        <v>46178</v>
      </c>
      <c r="B26" s="66" t="s">
        <v>224</v>
      </c>
      <c r="C26" s="66" t="n">
        <f aca="false">IFERROR(VLOOKUP(A26,'Anjali Log'!A:F,6,FALSE()),0)+IFERROR(VLOOKUP(A26,'Samiksha Log'!A:F,6,FALSE()),0)</f>
        <v>0</v>
      </c>
      <c r="D26" s="66" t="n">
        <f aca="false">IFERROR(VLOOKUP(A26,'Madhu Log'!A:C,3,FALSE()),0)</f>
        <v>0</v>
      </c>
      <c r="E26" s="66" t="str">
        <f aca="false">IF(C26=D26,"✓ MATCH","✗ MISMATCH")</f>
        <v>✓ MATCH</v>
      </c>
      <c r="F26" s="66" t="n">
        <f aca="false">ABS(C26-D26)</f>
        <v>0</v>
      </c>
      <c r="G26" s="66" t="str">
        <f aca="false">IF(C26=D26,"OK","Call Anjali/Samiksha + Madhu")</f>
        <v>OK</v>
      </c>
    </row>
    <row r="27" customFormat="false" ht="24" hidden="false" customHeight="true" outlineLevel="0" collapsed="false">
      <c r="A27" s="74" t="n">
        <v>46178</v>
      </c>
      <c r="B27" s="69" t="s">
        <v>225</v>
      </c>
      <c r="C27" s="69" t="n">
        <f aca="false">IFERROR(VLOOKUP(A27,'Madhu Log'!A:F,6,FALSE()),0)</f>
        <v>0</v>
      </c>
      <c r="D27" s="69" t="str">
        <f aca="false">IF(IFERROR(VLOOKUP(A27,'Bawankar Log'!A:C,3,FALSE()),0)&gt;0,"Cash received","No cash")</f>
        <v>No cash</v>
      </c>
      <c r="E27" s="69" t="str">
        <f aca="false">IF(AND(C27&gt;0,D27="No cash"),"✗ MISMATCH",IF(AND(C27=0,D27="No cash"),"✓ MATCH",IF(AND(C27&gt;0,D27="Cash received"),"✓ MATCH","⚠ Check")))</f>
        <v>✓ MATCH</v>
      </c>
      <c r="F27" s="69" t="s">
        <v>226</v>
      </c>
      <c r="G27" s="69" t="str">
        <f aca="false">IF(LEFT(E27,1)="✓","OK","Confirm with Bawankar")</f>
        <v>OK</v>
      </c>
    </row>
  </sheetData>
  <mergeCells count="2">
    <mergeCell ref="A1:G1"/>
    <mergeCell ref="A2:G2"/>
  </mergeCells>
  <conditionalFormatting sqref="E4:E27">
    <cfRule type="expression" priority="2" aboveAverage="0" equalAverage="0" bottom="0" percent="0" rank="0" text="" dxfId="17">
      <formula>LEFT($E4,1)="✓"</formula>
    </cfRule>
    <cfRule type="expression" priority="3" aboveAverage="0" equalAverage="0" bottom="0" percent="0" rank="0" text="" dxfId="3">
      <formula>LEFT($E4,1)="✗"</formula>
    </cfRule>
    <cfRule type="expression" priority="4" aboveAverage="0" equalAverage="0" bottom="0" percent="0" rank="0" text="" dxfId="18">
      <formula>LEFT($E4,1)="⚠"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75" t="s">
        <v>227</v>
      </c>
      <c r="B1" s="75"/>
      <c r="C1" s="75"/>
      <c r="D1" s="75"/>
      <c r="E1" s="75"/>
      <c r="F1" s="75"/>
    </row>
    <row r="2" customFormat="false" ht="19.5" hidden="false" customHeight="true" outlineLevel="0" collapsed="false">
      <c r="A2" s="21" t="s">
        <v>228</v>
      </c>
      <c r="B2" s="21"/>
      <c r="C2" s="21"/>
      <c r="D2" s="21"/>
      <c r="E2" s="21"/>
      <c r="F2" s="21"/>
    </row>
    <row r="3" customFormat="false" ht="31.5" hidden="false" customHeight="true" outlineLevel="0" collapsed="false">
      <c r="A3" s="10" t="s">
        <v>229</v>
      </c>
      <c r="B3" s="10" t="s">
        <v>230</v>
      </c>
      <c r="C3" s="10" t="s">
        <v>231</v>
      </c>
      <c r="D3" s="10" t="s">
        <v>232</v>
      </c>
      <c r="E3" s="10" t="s">
        <v>233</v>
      </c>
      <c r="F3" s="10" t="s">
        <v>234</v>
      </c>
    </row>
    <row r="4" customFormat="false" ht="25.5" hidden="false" customHeight="true" outlineLevel="0" collapsed="false">
      <c r="A4" s="76"/>
      <c r="B4" s="76"/>
      <c r="C4" s="76"/>
      <c r="D4" s="76"/>
      <c r="E4" s="76"/>
      <c r="F4" s="76"/>
    </row>
    <row r="5" customFormat="false" ht="25.5" hidden="false" customHeight="true" outlineLevel="0" collapsed="false">
      <c r="A5" s="77"/>
      <c r="B5" s="77"/>
      <c r="C5" s="77"/>
      <c r="D5" s="77"/>
      <c r="E5" s="77"/>
      <c r="F5" s="77"/>
    </row>
    <row r="6" customFormat="false" ht="25.5" hidden="false" customHeight="true" outlineLevel="0" collapsed="false">
      <c r="A6" s="76"/>
      <c r="B6" s="76"/>
      <c r="C6" s="76"/>
      <c r="D6" s="76"/>
      <c r="E6" s="76"/>
      <c r="F6" s="76"/>
    </row>
    <row r="7" customFormat="false" ht="25.5" hidden="false" customHeight="true" outlineLevel="0" collapsed="false">
      <c r="A7" s="77"/>
      <c r="B7" s="77"/>
      <c r="C7" s="77"/>
      <c r="D7" s="77"/>
      <c r="E7" s="77"/>
      <c r="F7" s="77"/>
    </row>
    <row r="8" customFormat="false" ht="25.5" hidden="false" customHeight="true" outlineLevel="0" collapsed="false">
      <c r="A8" s="76"/>
      <c r="B8" s="76"/>
      <c r="C8" s="76"/>
      <c r="D8" s="76"/>
      <c r="E8" s="76"/>
      <c r="F8" s="76"/>
    </row>
    <row r="9" customFormat="false" ht="25.5" hidden="false" customHeight="true" outlineLevel="0" collapsed="false">
      <c r="A9" s="77"/>
      <c r="B9" s="77"/>
      <c r="C9" s="77"/>
      <c r="D9" s="77"/>
      <c r="E9" s="77"/>
      <c r="F9" s="77"/>
    </row>
    <row r="10" customFormat="false" ht="25.5" hidden="false" customHeight="true" outlineLevel="0" collapsed="false">
      <c r="A10" s="76"/>
      <c r="B10" s="76"/>
      <c r="C10" s="76"/>
      <c r="D10" s="76"/>
      <c r="E10" s="76"/>
      <c r="F10" s="76"/>
    </row>
    <row r="11" customFormat="false" ht="25.5" hidden="false" customHeight="true" outlineLevel="0" collapsed="false">
      <c r="A11" s="77"/>
      <c r="B11" s="77"/>
      <c r="C11" s="77"/>
      <c r="D11" s="77"/>
      <c r="E11" s="77"/>
      <c r="F11" s="77"/>
    </row>
    <row r="12" customFormat="false" ht="25.5" hidden="false" customHeight="true" outlineLevel="0" collapsed="false">
      <c r="A12" s="76"/>
      <c r="B12" s="76"/>
      <c r="C12" s="76"/>
      <c r="D12" s="76"/>
      <c r="E12" s="76"/>
      <c r="F12" s="76"/>
    </row>
    <row r="13" customFormat="false" ht="25.5" hidden="false" customHeight="true" outlineLevel="0" collapsed="false">
      <c r="A13" s="77"/>
      <c r="B13" s="77"/>
      <c r="C13" s="77"/>
      <c r="D13" s="77"/>
      <c r="E13" s="77"/>
      <c r="F13" s="77"/>
    </row>
    <row r="14" customFormat="false" ht="25.5" hidden="false" customHeight="true" outlineLevel="0" collapsed="false">
      <c r="A14" s="76"/>
      <c r="B14" s="76"/>
      <c r="C14" s="76"/>
      <c r="D14" s="76"/>
      <c r="E14" s="76"/>
      <c r="F14" s="76"/>
    </row>
    <row r="15" customFormat="false" ht="25.5" hidden="false" customHeight="true" outlineLevel="0" collapsed="false">
      <c r="A15" s="77"/>
      <c r="B15" s="77"/>
      <c r="C15" s="77"/>
      <c r="D15" s="77"/>
      <c r="E15" s="77"/>
      <c r="F15" s="77"/>
    </row>
    <row r="16" customFormat="false" ht="25.5" hidden="false" customHeight="true" outlineLevel="0" collapsed="false">
      <c r="A16" s="76"/>
      <c r="B16" s="76"/>
      <c r="C16" s="76"/>
      <c r="D16" s="76"/>
      <c r="E16" s="76"/>
      <c r="F16" s="76"/>
    </row>
    <row r="17" customFormat="false" ht="25.5" hidden="false" customHeight="true" outlineLevel="0" collapsed="false">
      <c r="A17" s="77"/>
      <c r="B17" s="77"/>
      <c r="C17" s="77"/>
      <c r="D17" s="77"/>
      <c r="E17" s="77"/>
      <c r="F17" s="77"/>
    </row>
    <row r="18" customFormat="false" ht="25.5" hidden="false" customHeight="true" outlineLevel="0" collapsed="false">
      <c r="A18" s="76"/>
      <c r="B18" s="76"/>
      <c r="C18" s="76"/>
      <c r="D18" s="76"/>
      <c r="E18" s="76"/>
      <c r="F18" s="76"/>
    </row>
    <row r="19" customFormat="false" ht="25.5" hidden="false" customHeight="true" outlineLevel="0" collapsed="false">
      <c r="A19" s="77"/>
      <c r="B19" s="77"/>
      <c r="C19" s="77"/>
      <c r="D19" s="77"/>
      <c r="E19" s="77"/>
      <c r="F19" s="77"/>
    </row>
    <row r="20" customFormat="false" ht="25.5" hidden="false" customHeight="true" outlineLevel="0" collapsed="false">
      <c r="A20" s="76"/>
      <c r="B20" s="76"/>
      <c r="C20" s="76"/>
      <c r="D20" s="76"/>
      <c r="E20" s="76"/>
      <c r="F20" s="76"/>
    </row>
    <row r="21" customFormat="false" ht="25.5" hidden="false" customHeight="true" outlineLevel="0" collapsed="false">
      <c r="A21" s="77"/>
      <c r="B21" s="77"/>
      <c r="C21" s="77"/>
      <c r="D21" s="77"/>
      <c r="E21" s="77"/>
      <c r="F21" s="77"/>
    </row>
    <row r="22" customFormat="false" ht="25.5" hidden="false" customHeight="true" outlineLevel="0" collapsed="false">
      <c r="A22" s="76"/>
      <c r="B22" s="76"/>
      <c r="C22" s="76"/>
      <c r="D22" s="76"/>
      <c r="E22" s="76"/>
      <c r="F22" s="76"/>
    </row>
    <row r="23" customFormat="false" ht="25.5" hidden="false" customHeight="true" outlineLevel="0" collapsed="false">
      <c r="A23" s="77"/>
      <c r="B23" s="77"/>
      <c r="C23" s="77"/>
      <c r="D23" s="77"/>
      <c r="E23" s="77"/>
      <c r="F23" s="77"/>
    </row>
    <row r="24" customFormat="false" ht="25.5" hidden="false" customHeight="true" outlineLevel="0" collapsed="false">
      <c r="A24" s="76"/>
      <c r="B24" s="76"/>
      <c r="C24" s="76"/>
      <c r="D24" s="76"/>
      <c r="E24" s="76"/>
      <c r="F24" s="76"/>
    </row>
    <row r="25" customFormat="false" ht="25.5" hidden="false" customHeight="true" outlineLevel="0" collapsed="false">
      <c r="A25" s="77"/>
      <c r="B25" s="77"/>
      <c r="C25" s="77"/>
      <c r="D25" s="77"/>
      <c r="E25" s="77"/>
      <c r="F25" s="77"/>
    </row>
    <row r="26" customFormat="false" ht="25.5" hidden="false" customHeight="true" outlineLevel="0" collapsed="false">
      <c r="A26" s="76"/>
      <c r="B26" s="76"/>
      <c r="C26" s="76"/>
      <c r="D26" s="76"/>
      <c r="E26" s="76"/>
      <c r="F26" s="76"/>
    </row>
    <row r="27" customFormat="false" ht="25.5" hidden="false" customHeight="true" outlineLevel="0" collapsed="false">
      <c r="A27" s="77"/>
      <c r="B27" s="77"/>
      <c r="C27" s="77"/>
      <c r="D27" s="77"/>
      <c r="E27" s="77"/>
      <c r="F27" s="77"/>
    </row>
    <row r="28" customFormat="false" ht="25.5" hidden="false" customHeight="true" outlineLevel="0" collapsed="false">
      <c r="A28" s="76"/>
      <c r="B28" s="76"/>
      <c r="C28" s="76"/>
      <c r="D28" s="76"/>
      <c r="E28" s="76"/>
      <c r="F28" s="76"/>
    </row>
    <row r="29" customFormat="false" ht="25.5" hidden="false" customHeight="true" outlineLevel="0" collapsed="false">
      <c r="A29" s="77"/>
      <c r="B29" s="77"/>
      <c r="C29" s="77"/>
      <c r="D29" s="77"/>
      <c r="E29" s="77"/>
      <c r="F29" s="77"/>
    </row>
    <row r="30" customFormat="false" ht="25.5" hidden="false" customHeight="true" outlineLevel="0" collapsed="false">
      <c r="A30" s="76"/>
      <c r="B30" s="76"/>
      <c r="C30" s="76"/>
      <c r="D30" s="76"/>
      <c r="E30" s="76"/>
      <c r="F30" s="76"/>
    </row>
    <row r="31" customFormat="false" ht="25.5" hidden="false" customHeight="true" outlineLevel="0" collapsed="false">
      <c r="A31" s="77"/>
      <c r="B31" s="77"/>
      <c r="C31" s="77"/>
      <c r="D31" s="77"/>
      <c r="E31" s="77"/>
      <c r="F31" s="77"/>
    </row>
    <row r="32" customFormat="false" ht="25.5" hidden="false" customHeight="true" outlineLevel="0" collapsed="false">
      <c r="A32" s="76"/>
      <c r="B32" s="76"/>
      <c r="C32" s="76"/>
      <c r="D32" s="76"/>
      <c r="E32" s="76"/>
      <c r="F32" s="76"/>
    </row>
    <row r="33" customFormat="false" ht="25.5" hidden="false" customHeight="true" outlineLevel="0" collapsed="false">
      <c r="A33" s="77"/>
      <c r="B33" s="77"/>
      <c r="C33" s="77"/>
      <c r="D33" s="77"/>
      <c r="E33" s="77"/>
      <c r="F33" s="77"/>
    </row>
    <row r="34" customFormat="false" ht="25.5" hidden="false" customHeight="true" outlineLevel="0" collapsed="false">
      <c r="A34" s="76"/>
      <c r="B34" s="76"/>
      <c r="C34" s="76"/>
      <c r="D34" s="76"/>
      <c r="E34" s="76"/>
      <c r="F34" s="76"/>
    </row>
    <row r="35" customFormat="false" ht="25.5" hidden="false" customHeight="true" outlineLevel="0" collapsed="false">
      <c r="A35" s="77"/>
      <c r="B35" s="77"/>
      <c r="C35" s="77"/>
      <c r="D35" s="77"/>
      <c r="E35" s="77"/>
      <c r="F35" s="77"/>
    </row>
    <row r="36" customFormat="false" ht="25.5" hidden="false" customHeight="true" outlineLevel="0" collapsed="false">
      <c r="A36" s="76"/>
      <c r="B36" s="76"/>
      <c r="C36" s="76"/>
      <c r="D36" s="76"/>
      <c r="E36" s="76"/>
      <c r="F36" s="76"/>
    </row>
    <row r="37" customFormat="false" ht="25.5" hidden="false" customHeight="true" outlineLevel="0" collapsed="false">
      <c r="A37" s="77"/>
      <c r="B37" s="77"/>
      <c r="C37" s="77"/>
      <c r="D37" s="77"/>
      <c r="E37" s="77"/>
      <c r="F37" s="77"/>
    </row>
    <row r="38" customFormat="false" ht="25.5" hidden="false" customHeight="true" outlineLevel="0" collapsed="false">
      <c r="A38" s="76"/>
      <c r="B38" s="76"/>
      <c r="C38" s="76"/>
      <c r="D38" s="76"/>
      <c r="E38" s="76"/>
      <c r="F38" s="76"/>
    </row>
    <row r="39" customFormat="false" ht="25.5" hidden="false" customHeight="true" outlineLevel="0" collapsed="false">
      <c r="A39" s="77"/>
      <c r="B39" s="77"/>
      <c r="C39" s="77"/>
      <c r="D39" s="77"/>
      <c r="E39" s="77"/>
      <c r="F39" s="77"/>
    </row>
    <row r="40" customFormat="false" ht="25.5" hidden="false" customHeight="true" outlineLevel="0" collapsed="false">
      <c r="A40" s="76"/>
      <c r="B40" s="76"/>
      <c r="C40" s="76"/>
      <c r="D40" s="76"/>
      <c r="E40" s="76"/>
      <c r="F40" s="76"/>
    </row>
    <row r="41" customFormat="false" ht="25.5" hidden="false" customHeight="true" outlineLevel="0" collapsed="false">
      <c r="A41" s="77"/>
      <c r="B41" s="77"/>
      <c r="C41" s="77"/>
      <c r="D41" s="77"/>
      <c r="E41" s="77"/>
      <c r="F41" s="77"/>
    </row>
    <row r="42" customFormat="false" ht="25.5" hidden="false" customHeight="true" outlineLevel="0" collapsed="false">
      <c r="A42" s="76"/>
      <c r="B42" s="76"/>
      <c r="C42" s="76"/>
      <c r="D42" s="76"/>
      <c r="E42" s="76"/>
      <c r="F42" s="76"/>
    </row>
    <row r="43" customFormat="false" ht="25.5" hidden="false" customHeight="true" outlineLevel="0" collapsed="false">
      <c r="A43" s="77"/>
      <c r="B43" s="77"/>
      <c r="C43" s="77"/>
      <c r="D43" s="77"/>
      <c r="E43" s="77"/>
      <c r="F43" s="77"/>
    </row>
    <row r="44" customFormat="false" ht="25.5" hidden="false" customHeight="true" outlineLevel="0" collapsed="false">
      <c r="A44" s="76"/>
      <c r="B44" s="76"/>
      <c r="C44" s="76"/>
      <c r="D44" s="76"/>
      <c r="E44" s="76"/>
      <c r="F44" s="76"/>
    </row>
    <row r="45" customFormat="false" ht="25.5" hidden="false" customHeight="true" outlineLevel="0" collapsed="false">
      <c r="A45" s="77"/>
      <c r="B45" s="77"/>
      <c r="C45" s="77"/>
      <c r="D45" s="77"/>
      <c r="E45" s="77"/>
      <c r="F45" s="77"/>
    </row>
    <row r="46" customFormat="false" ht="25.5" hidden="false" customHeight="true" outlineLevel="0" collapsed="false">
      <c r="A46" s="76"/>
      <c r="B46" s="76"/>
      <c r="C46" s="76"/>
      <c r="D46" s="76"/>
      <c r="E46" s="76"/>
      <c r="F46" s="76"/>
    </row>
    <row r="47" customFormat="false" ht="25.5" hidden="false" customHeight="true" outlineLevel="0" collapsed="false">
      <c r="A47" s="77"/>
      <c r="B47" s="77"/>
      <c r="C47" s="77"/>
      <c r="D47" s="77"/>
      <c r="E47" s="77"/>
      <c r="F47" s="77"/>
    </row>
    <row r="48" customFormat="false" ht="25.5" hidden="false" customHeight="true" outlineLevel="0" collapsed="false">
      <c r="A48" s="76"/>
      <c r="B48" s="76"/>
      <c r="C48" s="76"/>
      <c r="D48" s="76"/>
      <c r="E48" s="76"/>
      <c r="F48" s="76"/>
    </row>
    <row r="49" customFormat="false" ht="25.5" hidden="false" customHeight="true" outlineLevel="0" collapsed="false">
      <c r="A49" s="77"/>
      <c r="B49" s="77"/>
      <c r="C49" s="77"/>
      <c r="D49" s="77"/>
      <c r="E49" s="77"/>
      <c r="F49" s="77"/>
    </row>
    <row r="50" customFormat="false" ht="25.5" hidden="false" customHeight="true" outlineLevel="0" collapsed="false">
      <c r="A50" s="76"/>
      <c r="B50" s="76"/>
      <c r="C50" s="76"/>
      <c r="D50" s="76"/>
      <c r="E50" s="76"/>
      <c r="F50" s="76"/>
    </row>
  </sheetData>
  <autoFilter ref="A3:F50"/>
  <mergeCells count="2">
    <mergeCell ref="A1:F1"/>
    <mergeCell ref="A2:F2"/>
  </mergeCells>
  <conditionalFormatting sqref="E4:E50">
    <cfRule type="cellIs" priority="2" operator="equal" aboveAverage="0" equalAverage="0" bottom="0" percent="0" rank="0" text="" dxfId="3">
      <formula>"Open"</formula>
    </cfRule>
    <cfRule type="cellIs" priority="3" operator="equal" aboveAverage="0" equalAverage="0" bottom="0" percent="0" rank="0" text="" dxfId="18">
      <formula>"Awaiting Director"</formula>
    </cfRule>
    <cfRule type="cellIs" priority="4" operator="equal" aboveAverage="0" equalAverage="0" bottom="0" percent="0" rank="0" text="" dxfId="17">
      <formula>"Resolved"</formula>
    </cfRule>
  </conditionalFormatting>
  <dataValidations count="3">
    <dataValidation allowBlank="true" errorStyle="stop" operator="between" showDropDown="false" showErrorMessage="false" showInputMessage="false" sqref="B4:B50" type="list">
      <formula1>"Anjali,Samiksha,Madhu,Sowmya,Bawankar,Muzammil,Aarti,Office Boy"</formula1>
      <formula2>0</formula2>
    </dataValidation>
    <dataValidation allowBlank="true" errorStyle="stop" operator="between" showDropDown="false" showErrorMessage="false" showInputMessage="false" sqref="C4:C50" type="list">
      <formula1>"Fee waiver request,Refund request,Parent complaint,Faculty absence,Staff absence,Unknown visitor,Cash discrepancy,Large payment (&gt;₹50K),IT issue,Approval needed,Other"</formula1>
      <formula2>0</formula2>
    </dataValidation>
    <dataValidation allowBlank="true" errorStyle="stop" operator="between" showDropDown="false" showErrorMessage="false" showInputMessage="false" sqref="E4:E50" type="list">
      <formula1>"Open,Awaiting Director,Approval needed,Resolved,Closed"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30" hidden="false" customHeight="true" outlineLevel="0" collapsed="false">
      <c r="A1" s="78" t="s">
        <v>235</v>
      </c>
      <c r="B1" s="78"/>
    </row>
    <row r="2" customFormat="false" ht="19.5" hidden="false" customHeight="true" outlineLevel="0" collapsed="false">
      <c r="A2" s="21" t="s">
        <v>236</v>
      </c>
      <c r="B2" s="21"/>
    </row>
    <row r="4" customFormat="false" ht="24" hidden="false" customHeight="true" outlineLevel="0" collapsed="false">
      <c r="A4" s="4" t="s">
        <v>237</v>
      </c>
      <c r="B4" s="4"/>
    </row>
    <row r="5" customFormat="false" ht="31.5" hidden="false" customHeight="true" outlineLevel="0" collapsed="false">
      <c r="A5" s="79" t="s">
        <v>238</v>
      </c>
      <c r="B5" s="77" t="s">
        <v>239</v>
      </c>
    </row>
    <row r="6" customFormat="false" ht="31.5" hidden="false" customHeight="true" outlineLevel="0" collapsed="false">
      <c r="A6" s="79" t="s">
        <v>240</v>
      </c>
      <c r="B6" s="77" t="s">
        <v>241</v>
      </c>
    </row>
    <row r="7" customFormat="false" ht="31.5" hidden="false" customHeight="true" outlineLevel="0" collapsed="false">
      <c r="A7" s="79" t="s">
        <v>242</v>
      </c>
      <c r="B7" s="77" t="s">
        <v>243</v>
      </c>
    </row>
    <row r="8" customFormat="false" ht="31.5" hidden="false" customHeight="true" outlineLevel="0" collapsed="false">
      <c r="A8" s="79" t="s">
        <v>244</v>
      </c>
      <c r="B8" s="77" t="s">
        <v>245</v>
      </c>
    </row>
    <row r="9" customFormat="false" ht="31.5" hidden="false" customHeight="true" outlineLevel="0" collapsed="false">
      <c r="A9" s="79" t="s">
        <v>246</v>
      </c>
      <c r="B9" s="77" t="s">
        <v>247</v>
      </c>
    </row>
    <row r="10" customFormat="false" ht="24" hidden="false" customHeight="true" outlineLevel="0" collapsed="false">
      <c r="A10" s="4"/>
      <c r="B10" s="4"/>
    </row>
    <row r="11" customFormat="false" ht="24" hidden="false" customHeight="true" outlineLevel="0" collapsed="false">
      <c r="A11" s="4" t="s">
        <v>248</v>
      </c>
      <c r="B11" s="4"/>
    </row>
    <row r="12" customFormat="false" ht="31.5" hidden="false" customHeight="true" outlineLevel="0" collapsed="false">
      <c r="A12" s="79" t="s">
        <v>16</v>
      </c>
      <c r="B12" s="77" t="s">
        <v>249</v>
      </c>
    </row>
    <row r="13" customFormat="false" ht="31.5" hidden="false" customHeight="true" outlineLevel="0" collapsed="false">
      <c r="A13" s="79" t="s">
        <v>17</v>
      </c>
      <c r="B13" s="77" t="s">
        <v>250</v>
      </c>
    </row>
    <row r="14" customFormat="false" ht="31.5" hidden="false" customHeight="true" outlineLevel="0" collapsed="false">
      <c r="A14" s="79" t="s">
        <v>18</v>
      </c>
      <c r="B14" s="77" t="s">
        <v>251</v>
      </c>
    </row>
    <row r="15" customFormat="false" ht="31.5" hidden="false" customHeight="true" outlineLevel="0" collapsed="false">
      <c r="A15" s="79" t="s">
        <v>19</v>
      </c>
      <c r="B15" s="77" t="s">
        <v>252</v>
      </c>
    </row>
    <row r="16" customFormat="false" ht="31.5" hidden="false" customHeight="true" outlineLevel="0" collapsed="false">
      <c r="A16" s="79" t="s">
        <v>20</v>
      </c>
      <c r="B16" s="77" t="s">
        <v>253</v>
      </c>
    </row>
    <row r="17" customFormat="false" ht="31.5" hidden="false" customHeight="true" outlineLevel="0" collapsed="false">
      <c r="A17" s="79" t="s">
        <v>21</v>
      </c>
      <c r="B17" s="77" t="s">
        <v>254</v>
      </c>
    </row>
    <row r="18" customFormat="false" ht="24" hidden="false" customHeight="true" outlineLevel="0" collapsed="false">
      <c r="A18" s="4"/>
      <c r="B18" s="4"/>
    </row>
    <row r="19" customFormat="false" ht="24" hidden="false" customHeight="true" outlineLevel="0" collapsed="false">
      <c r="A19" s="4" t="s">
        <v>255</v>
      </c>
      <c r="B19" s="4"/>
    </row>
    <row r="20" customFormat="false" ht="31.5" hidden="false" customHeight="true" outlineLevel="0" collapsed="false">
      <c r="A20" s="79" t="s">
        <v>256</v>
      </c>
      <c r="B20" s="77" t="s">
        <v>257</v>
      </c>
    </row>
    <row r="21" customFormat="false" ht="31.5" hidden="false" customHeight="true" outlineLevel="0" collapsed="false">
      <c r="A21" s="79" t="s">
        <v>258</v>
      </c>
      <c r="B21" s="77" t="s">
        <v>259</v>
      </c>
    </row>
    <row r="22" customFormat="false" ht="31.5" hidden="false" customHeight="true" outlineLevel="0" collapsed="false">
      <c r="A22" s="79" t="s">
        <v>260</v>
      </c>
      <c r="B22" s="77" t="s">
        <v>261</v>
      </c>
    </row>
    <row r="23" customFormat="false" ht="31.5" hidden="false" customHeight="true" outlineLevel="0" collapsed="false">
      <c r="A23" s="79" t="s">
        <v>262</v>
      </c>
      <c r="B23" s="77" t="s">
        <v>263</v>
      </c>
    </row>
    <row r="24" customFormat="false" ht="31.5" hidden="false" customHeight="true" outlineLevel="0" collapsed="false">
      <c r="A24" s="79" t="s">
        <v>264</v>
      </c>
      <c r="B24" s="77" t="s">
        <v>265</v>
      </c>
    </row>
    <row r="25" customFormat="false" ht="31.5" hidden="false" customHeight="true" outlineLevel="0" collapsed="false">
      <c r="A25" s="79" t="s">
        <v>266</v>
      </c>
      <c r="B25" s="77" t="s">
        <v>267</v>
      </c>
    </row>
    <row r="26" customFormat="false" ht="31.5" hidden="false" customHeight="true" outlineLevel="0" collapsed="false">
      <c r="A26" s="79" t="s">
        <v>268</v>
      </c>
      <c r="B26" s="77" t="s">
        <v>269</v>
      </c>
    </row>
    <row r="27" customFormat="false" ht="24" hidden="false" customHeight="true" outlineLevel="0" collapsed="false">
      <c r="A27" s="4"/>
      <c r="B27" s="4"/>
    </row>
    <row r="28" customFormat="false" ht="24" hidden="false" customHeight="true" outlineLevel="0" collapsed="false">
      <c r="A28" s="4" t="s">
        <v>270</v>
      </c>
      <c r="B28" s="4"/>
    </row>
    <row r="29" customFormat="false" ht="31.5" hidden="false" customHeight="true" outlineLevel="0" collapsed="false">
      <c r="A29" s="79" t="s">
        <v>271</v>
      </c>
      <c r="B29" s="77" t="s">
        <v>272</v>
      </c>
    </row>
    <row r="30" customFormat="false" ht="31.5" hidden="false" customHeight="true" outlineLevel="0" collapsed="false">
      <c r="A30" s="79" t="s">
        <v>273</v>
      </c>
      <c r="B30" s="77" t="s">
        <v>274</v>
      </c>
    </row>
    <row r="31" customFormat="false" ht="31.5" hidden="false" customHeight="true" outlineLevel="0" collapsed="false">
      <c r="A31" s="79" t="s">
        <v>275</v>
      </c>
      <c r="B31" s="77" t="s">
        <v>276</v>
      </c>
    </row>
    <row r="32" customFormat="false" ht="31.5" hidden="false" customHeight="true" outlineLevel="0" collapsed="false">
      <c r="A32" s="79" t="s">
        <v>277</v>
      </c>
      <c r="B32" s="77" t="s">
        <v>278</v>
      </c>
    </row>
    <row r="33" customFormat="false" ht="24" hidden="false" customHeight="true" outlineLevel="0" collapsed="false">
      <c r="A33" s="4"/>
      <c r="B33" s="4"/>
    </row>
    <row r="34" customFormat="false" ht="24" hidden="false" customHeight="true" outlineLevel="0" collapsed="false">
      <c r="A34" s="4" t="s">
        <v>279</v>
      </c>
      <c r="B34" s="4"/>
    </row>
    <row r="35" customFormat="false" ht="31.5" hidden="false" customHeight="true" outlineLevel="0" collapsed="false">
      <c r="A35" s="79" t="s">
        <v>280</v>
      </c>
      <c r="B35" s="77" t="s">
        <v>281</v>
      </c>
    </row>
    <row r="36" customFormat="false" ht="31.5" hidden="false" customHeight="true" outlineLevel="0" collapsed="false">
      <c r="A36" s="79" t="s">
        <v>282</v>
      </c>
      <c r="B36" s="77" t="s">
        <v>283</v>
      </c>
    </row>
    <row r="37" customFormat="false" ht="31.5" hidden="false" customHeight="true" outlineLevel="0" collapsed="false">
      <c r="A37" s="79" t="s">
        <v>284</v>
      </c>
      <c r="B37" s="77" t="s">
        <v>285</v>
      </c>
    </row>
  </sheetData>
  <mergeCells count="11">
    <mergeCell ref="A1:B1"/>
    <mergeCell ref="A2:B2"/>
    <mergeCell ref="A4:B4"/>
    <mergeCell ref="A10:B10"/>
    <mergeCell ref="A11:B11"/>
    <mergeCell ref="A18:B18"/>
    <mergeCell ref="A19:B19"/>
    <mergeCell ref="A27:B27"/>
    <mergeCell ref="A28:B28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2026-05-20T16:05:36Z</dcterms:created>
  <dc:creator>openpyxl</dc:creator>
  <dc:description/>
  <dc:language>en-US</dc:language>
  <cp:lastModifiedBy/>
  <dcterms:modified xsi:type="dcterms:W3CDTF">2026-05-20T16:05:43Z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