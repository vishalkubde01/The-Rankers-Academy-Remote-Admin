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s" sheetId="2" state="visible" r:id="rId4"/>
    <sheet name="Counselling" sheetId="3" state="visible" r:id="rId5"/>
    <sheet name="Daily Activity" sheetId="4" state="visible" r:id="rId6"/>
    <sheet name="Instructions" sheetId="5" state="visible" r:id="rId7"/>
  </sheets>
  <definedNames>
    <definedName function="false" hidden="true" localSheetId="2" name="_xlnm._FilterDatabase" vbProcedure="false">Counselling!$A$3:$H$100</definedName>
    <definedName function="false" hidden="true" localSheetId="3" name="_xlnm._FilterDatabase" vbProcedure="false">'Daily Activity'!$A$3:$J$200</definedName>
    <definedName function="false" hidden="true" localSheetId="1" name="_xlnm._FilterDatabase" vbProcedure="false">Leads!$A$2:$R$200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<sst xmlns="http://schemas.openxmlformats.org/spreadsheetml/2006/main" count="200" uniqueCount="176">
  <si>
    <t xml:space="preserve">THE RANKERS ACADEMY — LEAD TRACKING DASHBOARD</t>
  </si>
  <si>
    <t xml:space="preserve">Live conversion pipeline | Updated automatically from Leads sheet</t>
  </si>
  <si>
    <t xml:space="preserve">OVERALL FUNNEL</t>
  </si>
  <si>
    <t xml:space="preserve">Total Leads</t>
  </si>
  <si>
    <t xml:space="preserve">Fresh / Not Contacted</t>
  </si>
  <si>
    <t xml:space="preserve">Contacted</t>
  </si>
  <si>
    <t xml:space="preserve">Interested</t>
  </si>
  <si>
    <t xml:space="preserve">Counselling Booked</t>
  </si>
  <si>
    <t xml:space="preserve">Counselling Done</t>
  </si>
  <si>
    <t xml:space="preserve">ADMITTED</t>
  </si>
  <si>
    <t xml:space="preserve">Lost / Not Interested</t>
  </si>
  <si>
    <t xml:space="preserve">Lead → Admitted Conversion %</t>
  </si>
  <si>
    <t xml:space="preserve">CALLER PERFORMANCE</t>
  </si>
  <si>
    <t xml:space="preserve">Caller</t>
  </si>
  <si>
    <t xml:space="preserve">Leads Assigned</t>
  </si>
  <si>
    <t xml:space="preserve">Admitted</t>
  </si>
  <si>
    <t xml:space="preserve">Lost</t>
  </si>
  <si>
    <t xml:space="preserve">Conversion %</t>
  </si>
  <si>
    <t xml:space="preserve">Anjali</t>
  </si>
  <si>
    <t xml:space="preserve">Samiksha</t>
  </si>
  <si>
    <t xml:space="preserve">Unassigned</t>
  </si>
  <si>
    <t xml:space="preserve">LEAD SOURCE BREAKDOWN</t>
  </si>
  <si>
    <t xml:space="preserve">Source</t>
  </si>
  <si>
    <t xml:space="preserve">Source Conversion %</t>
  </si>
  <si>
    <t xml:space="preserve">Walk-in</t>
  </si>
  <si>
    <t xml:space="preserve">Phone Enquiry</t>
  </si>
  <si>
    <t xml:space="preserve">Instagram / Facebook</t>
  </si>
  <si>
    <t xml:space="preserve">WhatsApp / Broadcast</t>
  </si>
  <si>
    <t xml:space="preserve">Website Form</t>
  </si>
  <si>
    <t xml:space="preserve">Referral (Parent)</t>
  </si>
  <si>
    <t xml:space="preserve">Referral (Student)</t>
  </si>
  <si>
    <t xml:space="preserve">School Visit / Outreach</t>
  </si>
  <si>
    <t xml:space="preserve">Newspaper / Leaflet</t>
  </si>
  <si>
    <t xml:space="preserve">Other</t>
  </si>
  <si>
    <t xml:space="preserve">TODAY'S URGENT ACTIONS</t>
  </si>
  <si>
    <t xml:space="preserve">Follow-ups due TODAY</t>
  </si>
  <si>
    <t xml:space="preserve">Overdue Follow-ups (date passed)</t>
  </si>
  <si>
    <t xml:space="preserve">Counsellings scheduled today</t>
  </si>
  <si>
    <t xml:space="preserve">THE RANKERS ACADEMY | Plot 10, Buty Layout, RPTS Road, Laxmi Nagar, Nagpur 440022 | Mob: 8329100890</t>
  </si>
  <si>
    <t xml:space="preserve">LEADS — Single Source of Truth (edit only here)</t>
  </si>
  <si>
    <t xml:space="preserve">Lead ID</t>
  </si>
  <si>
    <t xml:space="preserve">Date Added</t>
  </si>
  <si>
    <t xml:space="preserve">Student Name</t>
  </si>
  <si>
    <t xml:space="preserve">Parent Name</t>
  </si>
  <si>
    <t xml:space="preserve">Phone</t>
  </si>
  <si>
    <t xml:space="preserve">Class / Stream</t>
  </si>
  <si>
    <t xml:space="preserve">Assigned To</t>
  </si>
  <si>
    <t xml:space="preserve">Status</t>
  </si>
  <si>
    <t xml:space="preserve">Last Contact Date</t>
  </si>
  <si>
    <t xml:space="preserve">Next Action Date</t>
  </si>
  <si>
    <t xml:space="preserve">Next Action</t>
  </si>
  <si>
    <t xml:space="preserve">Counsellor</t>
  </si>
  <si>
    <t xml:space="preserve">Counselling Date</t>
  </si>
  <si>
    <t xml:space="preserve">Fee Quoted (₹)</t>
  </si>
  <si>
    <t xml:space="preserve">Fee Collected (₹)</t>
  </si>
  <si>
    <t xml:space="preserve">Days in Pipeline</t>
  </si>
  <si>
    <t xml:space="preserve">Remarks</t>
  </si>
  <si>
    <t xml:space="preserve">L0001</t>
  </si>
  <si>
    <t xml:space="preserve">Aarav Sharma</t>
  </si>
  <si>
    <t xml:space="preserve">Mr Rajesh Sharma</t>
  </si>
  <si>
    <t xml:space="preserve">9876543210</t>
  </si>
  <si>
    <t xml:space="preserve">Class XI PCM (JEE)</t>
  </si>
  <si>
    <t xml:space="preserve">Confirm counselling slot</t>
  </si>
  <si>
    <t xml:space="preserve">Madhu</t>
  </si>
  <si>
    <t xml:space="preserve">Parent very keen, asked about JEE results</t>
  </si>
  <si>
    <t xml:space="preserve">L0002</t>
  </si>
  <si>
    <t xml:space="preserve">Diya Patel</t>
  </si>
  <si>
    <t xml:space="preserve">Mrs Sunita Patel</t>
  </si>
  <si>
    <t xml:space="preserve">9123456789</t>
  </si>
  <si>
    <t xml:space="preserve">Class XII PCB (NEET)</t>
  </si>
  <si>
    <t xml:space="preserve">Send fee structure on WhatsApp</t>
  </si>
  <si>
    <t xml:space="preserve">Compared with another coaching, wants demo class</t>
  </si>
  <si>
    <t xml:space="preserve">L0003</t>
  </si>
  <si>
    <t xml:space="preserve">Karan Deshmukh</t>
  </si>
  <si>
    <t xml:space="preserve">Mr Anil Deshmukh</t>
  </si>
  <si>
    <t xml:space="preserve">9988776655</t>
  </si>
  <si>
    <t xml:space="preserve">Class IX Foundation</t>
  </si>
  <si>
    <t xml:space="preserve">Fresh</t>
  </si>
  <si>
    <t xml:space="preserve">First call</t>
  </si>
  <si>
    <t xml:space="preserve">Reference from Mr Joshi (existing parent)</t>
  </si>
  <si>
    <t xml:space="preserve">MADHU — COUNSELLING SLOT CALENDAR</t>
  </si>
  <si>
    <t xml:space="preserve">Working hours: 10:45 AM – 6:45 PM | Slots: 30 min each | Book only via callers (Anjali / Samiksha)</t>
  </si>
  <si>
    <t xml:space="preserve">Sr No</t>
  </si>
  <si>
    <t xml:space="preserve">Date</t>
  </si>
  <si>
    <t xml:space="preserve">Time Slot</t>
  </si>
  <si>
    <t xml:space="preserve">Student / Parent Name</t>
  </si>
  <si>
    <t xml:space="preserve">Booked By (Caller)</t>
  </si>
  <si>
    <t xml:space="preserve">Outcome</t>
  </si>
  <si>
    <t xml:space="preserve">11:00 AM – 11:30 AM</t>
  </si>
  <si>
    <t xml:space="preserve">Aarav Sharma / Rajesh Sharma</t>
  </si>
  <si>
    <t xml:space="preserve">Pending</t>
  </si>
  <si>
    <t xml:space="preserve">4:30 PM – 5:00 PM</t>
  </si>
  <si>
    <t xml:space="preserve">Walk-in slot (kept reserved)</t>
  </si>
  <si>
    <t xml:space="preserve">Reserved</t>
  </si>
  <si>
    <t xml:space="preserve">DAILY CALLER ACTIVITY LOG</t>
  </si>
  <si>
    <t xml:space="preserve">Both callers log daily numbers here at EOD. Reviewed at morning huddle.</t>
  </si>
  <si>
    <t xml:space="preserve">Dials Made</t>
  </si>
  <si>
    <t xml:space="preserve">Connects</t>
  </si>
  <si>
    <t xml:space="preserve">Connect %</t>
  </si>
  <si>
    <t xml:space="preserve">Interested Leads</t>
  </si>
  <si>
    <t xml:space="preserve">Counsellings Booked</t>
  </si>
  <si>
    <t xml:space="preserve">Follow-ups Done</t>
  </si>
  <si>
    <t xml:space="preserve">Admissions Closed Today</t>
  </si>
  <si>
    <t xml:space="preserve">Notes / Blockers</t>
  </si>
  <si>
    <t xml:space="preserve">Good response from Instagram leads</t>
  </si>
  <si>
    <t xml:space="preserve">Closed 1 admission from old enquiry list</t>
  </si>
  <si>
    <t xml:space="preserve">HOW TO USE THIS LEAD TRACKER</t>
  </si>
  <si>
    <t xml:space="preserve">The Rankers Academy — Lead Tracking Standard Operating Procedure</t>
  </si>
  <si>
    <t xml:space="preserve">SHEETS IN THIS WORKBOOK</t>
  </si>
  <si>
    <t xml:space="preserve">Dashboard</t>
  </si>
  <si>
    <t xml:space="preserve">View-only summary. Updates automatically as Leads sheet changes. Check this every morning.</t>
  </si>
  <si>
    <t xml:space="preserve">Leads</t>
  </si>
  <si>
    <t xml:space="preserve">MAIN SHEET. Every lead entered here. Single source of truth — do not maintain a separate list anywhere else.</t>
  </si>
  <si>
    <t xml:space="preserve">Counselling</t>
  </si>
  <si>
    <t xml:space="preserve">Madhu's slot calendar. Only Anjali and Samiksha book here. 30-min blocks. Walk-ins use 'Walk-in (urgent)' slot.</t>
  </si>
  <si>
    <t xml:space="preserve">Daily Activity</t>
  </si>
  <si>
    <t xml:space="preserve">Both callers fill at end of each day. Their dials, connects, follow-ups. Reviewed at morning huddle.</t>
  </si>
  <si>
    <t xml:space="preserve">LEAD STATUS FLOW (USE EXACTLY THESE)</t>
  </si>
  <si>
    <t xml:space="preserve">1. Fresh</t>
  </si>
  <si>
    <t xml:space="preserve">Just added, not yet contacted.</t>
  </si>
  <si>
    <t xml:space="preserve">2. Contacted</t>
  </si>
  <si>
    <t xml:space="preserve">Caller has spoken to lead at least once.</t>
  </si>
  <si>
    <t xml:space="preserve">3. No Response</t>
  </si>
  <si>
    <t xml:space="preserve">Tried 3+ times, no answer. Move back to Contacted once they answer.</t>
  </si>
  <si>
    <t xml:space="preserve">4. Interested</t>
  </si>
  <si>
    <t xml:space="preserve">Lead showed genuine interest. Asked about fees, batches, or scheduled a call-back.</t>
  </si>
  <si>
    <t xml:space="preserve">5. Demo Class Scheduled</t>
  </si>
  <si>
    <t xml:space="preserve">Lead is coming for a demo class on a specific date.</t>
  </si>
  <si>
    <t xml:space="preserve">6. Counselling Booked</t>
  </si>
  <si>
    <t xml:space="preserve">Slot booked with Madhu (on Counselling sheet).</t>
  </si>
  <si>
    <t xml:space="preserve">7. Counselling Done</t>
  </si>
  <si>
    <t xml:space="preserve">Counselling completed. Awaiting decision.</t>
  </si>
  <si>
    <t xml:space="preserve">8. Negotiation</t>
  </si>
  <si>
    <t xml:space="preserve">Fee discussion ongoing. Transferred to Bawankar for any commitment.</t>
  </si>
  <si>
    <t xml:space="preserve">9. Admitted</t>
  </si>
  <si>
    <t xml:space="preserve">Form filled + first payment received. FINAL.</t>
  </si>
  <si>
    <t xml:space="preserve">10. Not Interested</t>
  </si>
  <si>
    <t xml:space="preserve">Lead said no. Reason in Remarks.</t>
  </si>
  <si>
    <t xml:space="preserve">11. Lost</t>
  </si>
  <si>
    <t xml:space="preserve">Went to competitor / not pursuing. Reason in Remarks.</t>
  </si>
  <si>
    <t xml:space="preserve">DAILY ROUTINE</t>
  </si>
  <si>
    <t xml:space="preserve">Morning (10:45 AM)</t>
  </si>
  <si>
    <t xml:space="preserve">Open Dashboard. Note today's follow-ups and overdue items. Discuss in huddle.</t>
  </si>
  <si>
    <t xml:space="preserve">Throughout day</t>
  </si>
  <si>
    <t xml:space="preserve">Update lead status in real-time after each call. Set Next Action Date for every active lead.</t>
  </si>
  <si>
    <t xml:space="preserve">Evening (6:30 PM)</t>
  </si>
  <si>
    <t xml:space="preserve">Both callers fill Daily Activity sheet before logging off.</t>
  </si>
  <si>
    <t xml:space="preserve">EOD by you</t>
  </si>
  <si>
    <t xml:space="preserve">Quick scan: any leads stale &gt;14 days? Any overdue follow-ups? Reassign or chase.</t>
  </si>
  <si>
    <t xml:space="preserve">RULES — NON NEGOTIABLE</t>
  </si>
  <si>
    <t xml:space="preserve">Rule 1</t>
  </si>
  <si>
    <t xml:space="preserve">Only ONE caller per lead. Once assigned, the other caller does not touch it without permission.</t>
  </si>
  <si>
    <t xml:space="preserve">Rule 2</t>
  </si>
  <si>
    <t xml:space="preserve">Every active lead MUST have a Next Action Date. No blanks.</t>
  </si>
  <si>
    <t xml:space="preserve">Rule 3</t>
  </si>
  <si>
    <t xml:space="preserve">Fee negotiation = Bawankar's job. Callers only quote standard fee.</t>
  </si>
  <si>
    <t xml:space="preserve">Rule 4</t>
  </si>
  <si>
    <t xml:space="preserve">Madhu's slots booked only via Counselling sheet. No verbal 'send the parent in' bookings.</t>
  </si>
  <si>
    <t xml:space="preserve">Rule 5</t>
  </si>
  <si>
    <t xml:space="preserve">Status changes to 'Admitted' only AFTER first payment hits. Not before.</t>
  </si>
  <si>
    <t xml:space="preserve">COLOR LEGEND</t>
  </si>
  <si>
    <t xml:space="preserve">Red row (Next Action Date)</t>
  </si>
  <si>
    <t xml:space="preserve">Follow-up is OVERDUE. Call today.</t>
  </si>
  <si>
    <t xml:space="preserve">Orange row (Next Action Date)</t>
  </si>
  <si>
    <t xml:space="preserve">Follow-up due TODAY.</t>
  </si>
  <si>
    <t xml:space="preserve">Red row (Days in Pipeline)</t>
  </si>
  <si>
    <t xml:space="preserve">Lead has been open &gt;14 days without closure. Push or close.</t>
  </si>
  <si>
    <t xml:space="preserve">UPLOAD TO GOOGLE SHEETS</t>
  </si>
  <si>
    <t xml:space="preserve">Step 1</t>
  </si>
  <si>
    <t xml:space="preserve">Go to drive.google.com → New → File upload → select this .xlsx.</t>
  </si>
  <si>
    <t xml:space="preserve">Step 2</t>
  </si>
  <si>
    <t xml:space="preserve">Right-click uploaded file → Open with → Google Sheets.</t>
  </si>
  <si>
    <t xml:space="preserve">Step 3</t>
  </si>
  <si>
    <t xml:space="preserve">File → Save as Google Sheets. Now share with team using Share button (give Anjali, Samiksha, Madhu 'Editor' access).</t>
  </si>
  <si>
    <t xml:space="preserve">Step 4</t>
  </si>
  <si>
    <t xml:space="preserve">All dropdowns, formulas, and conditional formatting will work the same in Google Sheets.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</si>
</sst>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dd\-mmm\-yyyy"/>
    <numFmt numFmtId="168" formatCode="0"/>
    <numFmt numFmtId="169" formatCode="\₹#,##0"/>
    <numFmt numFmtId="170" formatCode="dd\-mmm\-yyyy&quot; (&quot;ddd\)"/>
    <numFmt numFmtId="171" formatCode="yyyy\-mm\-dd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0B1F3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B1F3A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1"/>
      <color rgb="FF0B1F3A"/>
      <name val="Arial"/>
      <family val="0"/>
      <charset val="1"/>
    </font>
    <font>
      <sz val="10"/>
      <color rgb="FF0B1F3A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6"/>
      <color rgb="FF27AE6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0B1F3A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081530"/>
      </patternFill>
    </fill>
    <fill>
      <patternFill patternType="solid">
        <fgColor rgb="FFF4E5B8"/>
        <bgColor rgb="FFFFE0B2"/>
      </patternFill>
    </fill>
    <fill>
      <patternFill patternType="solid">
        <fgColor rgb="FF081530"/>
        <bgColor rgb="FF0B1F3A"/>
      </patternFill>
    </fill>
    <fill>
      <patternFill patternType="solid">
        <fgColor rgb="FFFAF6EC"/>
        <bgColor rgb="FFFFF8E1"/>
      </patternFill>
    </fill>
    <fill>
      <patternFill patternType="solid">
        <fgColor rgb="FFFFFFFF"/>
        <bgColor rgb="FFFAF6EC"/>
      </patternFill>
    </fill>
    <fill>
      <patternFill patternType="solid">
        <fgColor rgb="FFE67E22"/>
        <bgColor rgb="FFE651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0B1F3A"/>
          <bgColor rgb="FF000000"/>
        </patternFill>
      </fill>
    </dxf>
    <dxf>
      <fill>
        <patternFill patternType="solid">
          <fgColor rgb="FFFAF6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FFCC80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BBDEFB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ECEFF1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FFF59D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B39DDB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FFCC80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C5E1A5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F8BBD0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81C784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EF9A9A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B0BEC5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E082"/>
        </patternFill>
      </fill>
    </dxf>
    <dxf>
      <font>
        <name val="Arial"/>
        <charset val="1"/>
        <family val="0"/>
        <b val="1"/>
        <color rgb="FFBF360C"/>
        <sz val="10"/>
      </font>
      <fill>
        <patternFill>
          <bgColor rgb="FFFFAB91"/>
        </patternFill>
      </fill>
    </dxf>
    <dxf>
      <font>
        <name val="Arial"/>
        <charset val="1"/>
        <family val="0"/>
        <b val="1"/>
        <color rgb="FF0B1F3A"/>
        <sz val="10"/>
      </font>
      <fill>
        <patternFill>
          <bgColor rgb="FFFFF8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0B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FFCDD2"/>
      <rgbColor rgb="FFC0392B"/>
      <rgbColor rgb="FFFFF8E1"/>
      <rgbColor rgb="FFECEFF1"/>
      <rgbColor rgb="FF660066"/>
      <rgbColor rgb="FFFFAB91"/>
      <rgbColor rgb="FF0066CC"/>
      <rgbColor rgb="FFBBDEFB"/>
      <rgbColor rgb="FF000080"/>
      <rgbColor rgb="FFFF00FF"/>
      <rgbColor rgb="FFF4E5B8"/>
      <rgbColor rgb="FF00FFFF"/>
      <rgbColor rgb="FF800080"/>
      <rgbColor rgb="FF800000"/>
      <rgbColor rgb="FF008080"/>
      <rgbColor rgb="FF0000FF"/>
      <rgbColor rgb="FF00CCFF"/>
      <rgbColor rgb="FFFAF6EC"/>
      <rgbColor rgb="FFC5E1A5"/>
      <rgbColor rgb="FFFFF59D"/>
      <rgbColor rgb="FFF8BBD0"/>
      <rgbColor rgb="FFEF9A9A"/>
      <rgbColor rgb="FFB39DDB"/>
      <rgbColor rgb="FFFFCC80"/>
      <rgbColor rgb="FF3366FF"/>
      <rgbColor rgb="FF33CCCC"/>
      <rgbColor rgb="FF99CC00"/>
      <rgbColor rgb="FFFFE082"/>
      <rgbColor rgb="FFE67E22"/>
      <rgbColor rgb="FFE65100"/>
      <rgbColor rgb="FF666699"/>
      <rgbColor rgb="FF81C784"/>
      <rgbColor rgb="FF0B1F3A"/>
      <rgbColor rgb="FF27AE60"/>
      <rgbColor rgb="FF081530"/>
      <rgbColor rgb="FF333300"/>
      <rgbColor rgb="FFBF360C"/>
      <rgbColor rgb="FFB71C1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21.7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31.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customFormat="false" ht="48" hidden="false" customHeight="true" outlineLevel="0" collapsed="false">
      <c r="A7" s="5" t="n">
        <f aca="false">COUNTA(Leads!B3:B1000)</f>
        <v>3</v>
      </c>
      <c r="B7" s="5" t="n">
        <f aca="false">COUNTIF(Leads!I3:I1000,"Fresh")</f>
        <v>1</v>
      </c>
      <c r="C7" s="5" t="n">
        <f aca="false">COUNTIF(Leads!I3:I1000,"Contacted")</f>
        <v>0</v>
      </c>
      <c r="D7" s="5" t="n">
        <f aca="false">COUNTIF(Leads!I3:I1000,"Interested")</f>
        <v>1</v>
      </c>
      <c r="E7" s="5" t="n">
        <f aca="false">COUNTIF(Leads!I3:I1000,"Counselling Booked")</f>
        <v>1</v>
      </c>
      <c r="F7" s="5" t="n">
        <f aca="false">COUNTIF(Leads!I3:I1000,"Counselling Done")</f>
        <v>0</v>
      </c>
      <c r="G7" s="5" t="n">
        <f aca="false">COUNTIF(Leads!I3:I1000,"Admitted")</f>
        <v>0</v>
      </c>
      <c r="H7" s="5" t="n">
        <f aca="false">COUNTIF(Leads!I3:I1000,"Lost")+COUNTIF(Leads!I3:I1000,"Not Interested")</f>
        <v>0</v>
      </c>
    </row>
    <row r="9" customFormat="false" ht="25.5" hidden="false" customHeight="true" outlineLevel="0" collapsed="false">
      <c r="A9" s="6" t="s">
        <v>11</v>
      </c>
      <c r="B9" s="6"/>
      <c r="C9" s="6"/>
      <c r="D9" s="6"/>
      <c r="E9" s="7" t="n">
        <f aca="false">IFERROR(G7/A7,0)</f>
        <v>0</v>
      </c>
      <c r="F9" s="7"/>
      <c r="G9" s="7"/>
      <c r="H9" s="7"/>
    </row>
    <row r="11" customFormat="false" ht="21.75" hidden="false" customHeight="true" outlineLevel="0" collapsed="false">
      <c r="A11" s="3" t="s">
        <v>12</v>
      </c>
      <c r="B11" s="3"/>
      <c r="C11" s="3"/>
      <c r="D11" s="3"/>
      <c r="E11" s="3"/>
      <c r="F11" s="3"/>
      <c r="G11" s="3"/>
      <c r="H11" s="3"/>
    </row>
    <row r="12" customFormat="false" ht="27.75" hidden="false" customHeight="true" outlineLevel="0" collapsed="false">
      <c r="A12" s="8" t="s">
        <v>13</v>
      </c>
      <c r="B12" s="8" t="s">
        <v>14</v>
      </c>
      <c r="C12" s="8" t="s">
        <v>5</v>
      </c>
      <c r="D12" s="8" t="s">
        <v>6</v>
      </c>
      <c r="E12" s="8" t="s">
        <v>7</v>
      </c>
      <c r="F12" s="8" t="s">
        <v>15</v>
      </c>
      <c r="G12" s="8" t="s">
        <v>16</v>
      </c>
      <c r="H12" s="8" t="s">
        <v>17</v>
      </c>
    </row>
    <row r="13" customFormat="false" ht="21.75" hidden="false" customHeight="true" outlineLevel="0" collapsed="false">
      <c r="A13" s="9" t="s">
        <v>18</v>
      </c>
      <c r="B13" s="10" t="n">
        <f aca="false">COUNTIF(Leads!H3:H1000,"Anjali")</f>
        <v>2</v>
      </c>
      <c r="C13" s="10" t="n">
        <f aca="false">COUNTIFS(Leads!H3:H1000,"Anjali",Leads!I3:I1000,"Contacted")+COUNTIFS(Leads!H3:H1000,"Anjali",Leads!I3:I1000,"Interested")+COUNTIFS(Leads!H3:H1000,"Anjali",Leads!I3:I1000,"Counselling Booked")+COUNTIFS(Leads!H3:H1000,"Anjali",Leads!I3:I1000,"Counselling Done")+COUNTIFS(Leads!H3:H1000,"Anjali",Leads!I3:I1000,"Admitted")</f>
        <v>1</v>
      </c>
      <c r="D13" s="10" t="n">
        <f aca="false">COUNTIFS(Leads!H3:H1000,"Anjali",Leads!I3:I1000,"Interested")</f>
        <v>0</v>
      </c>
      <c r="E13" s="10" t="n">
        <f aca="false">COUNTIFS(Leads!H3:H1000,"Anjali",Leads!I3:I1000,"Counselling Booked")</f>
        <v>1</v>
      </c>
      <c r="F13" s="10" t="n">
        <f aca="false">COUNTIFS(Leads!H3:H1000,"Anjali",Leads!I3:I1000,"Admitted")</f>
        <v>0</v>
      </c>
      <c r="G13" s="10" t="n">
        <f aca="false">COUNTIFS(Leads!H3:H1000,"Anjali",Leads!I3:I1000,"Lost")+COUNTIFS(Leads!H3:H1000,"Anjali",Leads!I3:I1000,"Not Interested")</f>
        <v>0</v>
      </c>
      <c r="H13" s="11" t="n">
        <f aca="false">IFERROR(F13/B13,0)</f>
        <v>0</v>
      </c>
    </row>
    <row r="14" customFormat="false" ht="21.75" hidden="false" customHeight="true" outlineLevel="0" collapsed="false">
      <c r="A14" s="9" t="s">
        <v>19</v>
      </c>
      <c r="B14" s="10" t="n">
        <f aca="false">COUNTIF(Leads!H3:H1000,"Samiksha")</f>
        <v>1</v>
      </c>
      <c r="C14" s="10" t="n">
        <f aca="false">COUNTIFS(Leads!H3:H1000,"Samiksha",Leads!I3:I1000,"Contacted")+COUNTIFS(Leads!H3:H1000,"Samiksha",Leads!I3:I1000,"Interested")+COUNTIFS(Leads!H3:H1000,"Samiksha",Leads!I3:I1000,"Counselling Booked")+COUNTIFS(Leads!H3:H1000,"Samiksha",Leads!I3:I1000,"Counselling Done")+COUNTIFS(Leads!H3:H1000,"Samiksha",Leads!I3:I1000,"Admitted")</f>
        <v>1</v>
      </c>
      <c r="D14" s="10" t="n">
        <f aca="false">COUNTIFS(Leads!H3:H1000,"Samiksha",Leads!I3:I1000,"Interested")</f>
        <v>1</v>
      </c>
      <c r="E14" s="10" t="n">
        <f aca="false">COUNTIFS(Leads!H3:H1000,"Samiksha",Leads!I3:I1000,"Counselling Booked")</f>
        <v>0</v>
      </c>
      <c r="F14" s="10" t="n">
        <f aca="false">COUNTIFS(Leads!H3:H1000,"Samiksha",Leads!I3:I1000,"Admitted")</f>
        <v>0</v>
      </c>
      <c r="G14" s="10" t="n">
        <f aca="false">COUNTIFS(Leads!H3:H1000,"Samiksha",Leads!I3:I1000,"Lost")+COUNTIFS(Leads!H3:H1000,"Samiksha",Leads!I3:I1000,"Not Interested")</f>
        <v>0</v>
      </c>
      <c r="H14" s="11" t="n">
        <f aca="false">IFERROR(F14/B14,0)</f>
        <v>0</v>
      </c>
    </row>
    <row r="15" customFormat="false" ht="21.75" hidden="false" customHeight="true" outlineLevel="0" collapsed="false">
      <c r="A15" s="9" t="s">
        <v>20</v>
      </c>
      <c r="B15" s="10" t="n">
        <f aca="false">COUNTIF(Leads!H3:H1000,"Unassigned")</f>
        <v>0</v>
      </c>
      <c r="C15" s="10" t="n">
        <f aca="false">COUNTIFS(Leads!H3:H1000,"Unassigned",Leads!I3:I1000,"Contacted")+COUNTIFS(Leads!H3:H1000,"Unassigned",Leads!I3:I1000,"Interested")+COUNTIFS(Leads!H3:H1000,"Unassigned",Leads!I3:I1000,"Counselling Booked")+COUNTIFS(Leads!H3:H1000,"Unassigned",Leads!I3:I1000,"Counselling Done")+COUNTIFS(Leads!H3:H1000,"Unassigned",Leads!I3:I1000,"Admitted")</f>
        <v>0</v>
      </c>
      <c r="D15" s="10" t="n">
        <f aca="false">COUNTIFS(Leads!H3:H1000,"Unassigned",Leads!I3:I1000,"Interested")</f>
        <v>0</v>
      </c>
      <c r="E15" s="10" t="n">
        <f aca="false">COUNTIFS(Leads!H3:H1000,"Unassigned",Leads!I3:I1000,"Counselling Booked")</f>
        <v>0</v>
      </c>
      <c r="F15" s="10" t="n">
        <f aca="false">COUNTIFS(Leads!H3:H1000,"Unassigned",Leads!I3:I1000,"Admitted")</f>
        <v>0</v>
      </c>
      <c r="G15" s="10" t="n">
        <f aca="false">COUNTIFS(Leads!H3:H1000,"Unassigned",Leads!I3:I1000,"Lost")+COUNTIFS(Leads!H3:H1000,"Unassigned",Leads!I3:I1000,"Not Interested")</f>
        <v>0</v>
      </c>
      <c r="H15" s="11" t="n">
        <f aca="false">IFERROR(F15/B15,0)</f>
        <v>0</v>
      </c>
    </row>
    <row r="17" customFormat="false" ht="21.75" hidden="false" customHeight="true" outlineLevel="0" collapsed="false">
      <c r="A17" s="3" t="s">
        <v>21</v>
      </c>
      <c r="B17" s="3"/>
      <c r="C17" s="3"/>
      <c r="D17" s="3"/>
      <c r="E17" s="3"/>
      <c r="F17" s="3"/>
      <c r="G17" s="3"/>
      <c r="H17" s="3"/>
    </row>
    <row r="18" customFormat="false" ht="25.5" hidden="false" customHeight="true" outlineLevel="0" collapsed="false">
      <c r="A18" s="8" t="s">
        <v>22</v>
      </c>
      <c r="B18" s="8"/>
      <c r="C18" s="8" t="s">
        <v>3</v>
      </c>
      <c r="D18" s="8"/>
      <c r="E18" s="12" t="s">
        <v>15</v>
      </c>
      <c r="F18" s="12"/>
      <c r="G18" s="12" t="s">
        <v>23</v>
      </c>
      <c r="H18" s="12"/>
    </row>
    <row r="19" customFormat="false" ht="19.5" hidden="false" customHeight="true" outlineLevel="0" collapsed="false">
      <c r="A19" s="13" t="s">
        <v>24</v>
      </c>
      <c r="B19" s="13"/>
      <c r="C19" s="14" t="n">
        <f aca="false">COUNTIF(Leads!E3:E1000,"Walk-in")</f>
        <v>1</v>
      </c>
      <c r="D19" s="14"/>
      <c r="E19" s="14" t="n">
        <f aca="false">COUNTIFS(Leads!E3:E1000,"Walk-in",Leads!I3:I1000,"Admitted")</f>
        <v>0</v>
      </c>
      <c r="F19" s="14"/>
      <c r="G19" s="15" t="n">
        <f aca="false">IFERROR(E19/C19,0)</f>
        <v>0</v>
      </c>
      <c r="H19" s="15"/>
    </row>
    <row r="20" customFormat="false" ht="19.5" hidden="false" customHeight="true" outlineLevel="0" collapsed="false">
      <c r="A20" s="16" t="s">
        <v>25</v>
      </c>
      <c r="B20" s="16"/>
      <c r="C20" s="17" t="n">
        <f aca="false">COUNTIF(Leads!E3:E1000,"Phone Enquiry")</f>
        <v>0</v>
      </c>
      <c r="D20" s="17"/>
      <c r="E20" s="17" t="n">
        <f aca="false">COUNTIFS(Leads!E3:E1000,"Phone Enquiry",Leads!I3:I1000,"Admitted")</f>
        <v>0</v>
      </c>
      <c r="F20" s="17"/>
      <c r="G20" s="18" t="n">
        <f aca="false">IFERROR(E20/C20,0)</f>
        <v>0</v>
      </c>
      <c r="H20" s="18"/>
    </row>
    <row r="21" customFormat="false" ht="19.5" hidden="false" customHeight="true" outlineLevel="0" collapsed="false">
      <c r="A21" s="13" t="s">
        <v>26</v>
      </c>
      <c r="B21" s="13"/>
      <c r="C21" s="14" t="n">
        <f aca="false">COUNTIF(Leads!E3:E1000,"Instagram / Facebook")</f>
        <v>1</v>
      </c>
      <c r="D21" s="14"/>
      <c r="E21" s="14" t="n">
        <f aca="false">COUNTIFS(Leads!E3:E1000,"Instagram / Facebook",Leads!I3:I1000,"Admitted")</f>
        <v>0</v>
      </c>
      <c r="F21" s="14"/>
      <c r="G21" s="15" t="n">
        <f aca="false">IFERROR(E21/C21,0)</f>
        <v>0</v>
      </c>
      <c r="H21" s="15"/>
    </row>
    <row r="22" customFormat="false" ht="19.5" hidden="false" customHeight="true" outlineLevel="0" collapsed="false">
      <c r="A22" s="16" t="s">
        <v>27</v>
      </c>
      <c r="B22" s="16"/>
      <c r="C22" s="17" t="n">
        <f aca="false">COUNTIF(Leads!E3:E1000,"WhatsApp / Broadcast")</f>
        <v>0</v>
      </c>
      <c r="D22" s="17"/>
      <c r="E22" s="17" t="n">
        <f aca="false">COUNTIFS(Leads!E3:E1000,"WhatsApp / Broadcast",Leads!I3:I1000,"Admitted")</f>
        <v>0</v>
      </c>
      <c r="F22" s="17"/>
      <c r="G22" s="18" t="n">
        <f aca="false">IFERROR(E22/C22,0)</f>
        <v>0</v>
      </c>
      <c r="H22" s="18"/>
    </row>
    <row r="23" customFormat="false" ht="19.5" hidden="false" customHeight="true" outlineLevel="0" collapsed="false">
      <c r="A23" s="13" t="s">
        <v>28</v>
      </c>
      <c r="B23" s="13"/>
      <c r="C23" s="14" t="n">
        <f aca="false">COUNTIF(Leads!E3:E1000,"Website Form")</f>
        <v>0</v>
      </c>
      <c r="D23" s="14"/>
      <c r="E23" s="14" t="n">
        <f aca="false">COUNTIFS(Leads!E3:E1000,"Website Form",Leads!I3:I1000,"Admitted")</f>
        <v>0</v>
      </c>
      <c r="F23" s="14"/>
      <c r="G23" s="15" t="n">
        <f aca="false">IFERROR(E23/C23,0)</f>
        <v>0</v>
      </c>
      <c r="H23" s="15"/>
    </row>
    <row r="24" customFormat="false" ht="19.5" hidden="false" customHeight="true" outlineLevel="0" collapsed="false">
      <c r="A24" s="16" t="s">
        <v>29</v>
      </c>
      <c r="B24" s="16"/>
      <c r="C24" s="17" t="n">
        <f aca="false">COUNTIF(Leads!E3:E1000,"Referral (Parent)")</f>
        <v>1</v>
      </c>
      <c r="D24" s="17"/>
      <c r="E24" s="17" t="n">
        <f aca="false">COUNTIFS(Leads!E3:E1000,"Referral (Parent)",Leads!I3:I1000,"Admitted")</f>
        <v>0</v>
      </c>
      <c r="F24" s="17"/>
      <c r="G24" s="18" t="n">
        <f aca="false">IFERROR(E24/C24,0)</f>
        <v>0</v>
      </c>
      <c r="H24" s="18"/>
    </row>
    <row r="25" customFormat="false" ht="19.5" hidden="false" customHeight="true" outlineLevel="0" collapsed="false">
      <c r="A25" s="13" t="s">
        <v>30</v>
      </c>
      <c r="B25" s="13"/>
      <c r="C25" s="14" t="n">
        <f aca="false">COUNTIF(Leads!E3:E1000,"Referral (Student)")</f>
        <v>0</v>
      </c>
      <c r="D25" s="14"/>
      <c r="E25" s="14" t="n">
        <f aca="false">COUNTIFS(Leads!E3:E1000,"Referral (Student)",Leads!I3:I1000,"Admitted")</f>
        <v>0</v>
      </c>
      <c r="F25" s="14"/>
      <c r="G25" s="15" t="n">
        <f aca="false">IFERROR(E25/C25,0)</f>
        <v>0</v>
      </c>
      <c r="H25" s="15"/>
    </row>
    <row r="26" customFormat="false" ht="19.5" hidden="false" customHeight="true" outlineLevel="0" collapsed="false">
      <c r="A26" s="16" t="s">
        <v>31</v>
      </c>
      <c r="B26" s="16"/>
      <c r="C26" s="17" t="n">
        <f aca="false">COUNTIF(Leads!E3:E1000,"School Visit / Outreach")</f>
        <v>0</v>
      </c>
      <c r="D26" s="17"/>
      <c r="E26" s="17" t="n">
        <f aca="false">COUNTIFS(Leads!E3:E1000,"School Visit / Outreach",Leads!I3:I1000,"Admitted")</f>
        <v>0</v>
      </c>
      <c r="F26" s="17"/>
      <c r="G26" s="18" t="n">
        <f aca="false">IFERROR(E26/C26,0)</f>
        <v>0</v>
      </c>
      <c r="H26" s="18"/>
    </row>
    <row r="27" customFormat="false" ht="19.5" hidden="false" customHeight="true" outlineLevel="0" collapsed="false">
      <c r="A27" s="13" t="s">
        <v>32</v>
      </c>
      <c r="B27" s="13"/>
      <c r="C27" s="14" t="n">
        <f aca="false">COUNTIF(Leads!E3:E1000,"Newspaper / Leaflet")</f>
        <v>0</v>
      </c>
      <c r="D27" s="14"/>
      <c r="E27" s="14" t="n">
        <f aca="false">COUNTIFS(Leads!E3:E1000,"Newspaper / Leaflet",Leads!I3:I1000,"Admitted")</f>
        <v>0</v>
      </c>
      <c r="F27" s="14"/>
      <c r="G27" s="15" t="n">
        <f aca="false">IFERROR(E27/C27,0)</f>
        <v>0</v>
      </c>
      <c r="H27" s="15"/>
    </row>
    <row r="28" customFormat="false" ht="19.5" hidden="false" customHeight="true" outlineLevel="0" collapsed="false">
      <c r="A28" s="16" t="s">
        <v>33</v>
      </c>
      <c r="B28" s="16"/>
      <c r="C28" s="17" t="n">
        <f aca="false">COUNTIF(Leads!E3:E1000,"Other")</f>
        <v>0</v>
      </c>
      <c r="D28" s="17"/>
      <c r="E28" s="17" t="n">
        <f aca="false">COUNTIFS(Leads!E3:E1000,"Other",Leads!I3:I1000,"Admitted")</f>
        <v>0</v>
      </c>
      <c r="F28" s="17"/>
      <c r="G28" s="18" t="n">
        <f aca="false">IFERROR(E28/C28,0)</f>
        <v>0</v>
      </c>
      <c r="H28" s="18"/>
    </row>
    <row r="31" customFormat="false" ht="21.75" hidden="false" customHeight="true" outlineLevel="0" collapsed="false">
      <c r="A31" s="19" t="s">
        <v>34</v>
      </c>
      <c r="B31" s="19"/>
      <c r="C31" s="19"/>
      <c r="D31" s="19"/>
      <c r="E31" s="19"/>
      <c r="F31" s="19"/>
      <c r="G31" s="19"/>
      <c r="H31" s="19"/>
    </row>
    <row r="32" customFormat="false" ht="27.75" hidden="false" customHeight="true" outlineLevel="0" collapsed="false">
      <c r="A32" s="20" t="s">
        <v>35</v>
      </c>
      <c r="B32" s="20"/>
      <c r="C32" s="20"/>
      <c r="D32" s="20"/>
      <c r="E32" s="20"/>
      <c r="F32" s="21" t="n">
        <f aca="true">COUNTIFS(Leads!K3:K1000,TODAY(),Leads!I3:I1000,"&lt;&gt;Admitted",Leads!I3:I1000,"&lt;&gt;Lost",Leads!I3:I1000,"&lt;&gt;Not Interested")</f>
        <v>2</v>
      </c>
      <c r="G32" s="21"/>
      <c r="H32" s="21"/>
    </row>
    <row r="33" customFormat="false" ht="27.75" hidden="false" customHeight="true" outlineLevel="0" collapsed="false">
      <c r="A33" s="20" t="s">
        <v>36</v>
      </c>
      <c r="B33" s="20"/>
      <c r="C33" s="20"/>
      <c r="D33" s="20"/>
      <c r="E33" s="20"/>
      <c r="F33" s="21" t="n">
        <f aca="true">COUNTIFS(Leads!K3:K1000,"&lt;"&amp;TODAY(),Leads!K3:K1000,"&gt;"&amp;0,Leads!I3:I1000,"&lt;&gt;Admitted",Leads!I3:I1000,"&lt;&gt;Lost",Leads!I3:I1000,"&lt;&gt;Not Interested")</f>
        <v>0</v>
      </c>
      <c r="G33" s="21"/>
      <c r="H33" s="21"/>
    </row>
    <row r="34" customFormat="false" ht="27.75" hidden="false" customHeight="true" outlineLevel="0" collapsed="false">
      <c r="A34" s="20" t="s">
        <v>37</v>
      </c>
      <c r="B34" s="20"/>
      <c r="C34" s="20"/>
      <c r="D34" s="20"/>
      <c r="E34" s="20"/>
      <c r="F34" s="22" t="n">
        <f aca="true">COUNTIF(Counselling!B3:B500,TODAY())</f>
        <v>0</v>
      </c>
      <c r="G34" s="22"/>
      <c r="H34" s="22"/>
    </row>
    <row r="36" customFormat="false" ht="19.5" hidden="false" customHeight="true" outlineLevel="0" collapsed="false">
      <c r="A36" s="23" t="s">
        <v>38</v>
      </c>
      <c r="B36" s="23"/>
      <c r="C36" s="23"/>
      <c r="D36" s="23"/>
      <c r="E36" s="23"/>
      <c r="F36" s="23"/>
      <c r="G36" s="23"/>
      <c r="H36" s="23"/>
    </row>
  </sheetData>
  <mergeCells count="59">
    <mergeCell ref="A1:H2"/>
    <mergeCell ref="A3:H3"/>
    <mergeCell ref="A5:H5"/>
    <mergeCell ref="A9:D9"/>
    <mergeCell ref="E9:H9"/>
    <mergeCell ref="A11:H11"/>
    <mergeCell ref="A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31:H31"/>
    <mergeCell ref="A32:E32"/>
    <mergeCell ref="F32:H32"/>
    <mergeCell ref="A33:E33"/>
    <mergeCell ref="F33:H33"/>
    <mergeCell ref="A34:E34"/>
    <mergeCell ref="F34:H3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5" min="3" style="0" width="22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1" min="10" style="0" width="13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6" min="14" style="0" width="13"/>
    <col collapsed="false" customWidth="true" hidden="false" outlineLevel="0" max="17" min="17" style="0" width="10"/>
    <col collapsed="false" customWidth="true" hidden="false" outlineLevel="0" max="18" min="18" style="0" width="32"/>
  </cols>
  <sheetData>
    <row r="1" customFormat="false" ht="25.5" hidden="false" customHeight="true" outlineLevel="0" collapsed="false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36" hidden="false" customHeight="true" outlineLevel="0" collapsed="false">
      <c r="A2" s="8" t="s">
        <v>40</v>
      </c>
      <c r="B2" s="8" t="s">
        <v>41</v>
      </c>
      <c r="C2" s="8" t="s">
        <v>42</v>
      </c>
      <c r="D2" s="8" t="s">
        <v>43</v>
      </c>
      <c r="E2" s="8" t="s">
        <v>22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</row>
    <row r="3" customFormat="false" ht="23.85" hidden="false" customHeight="false" outlineLevel="0" collapsed="false">
      <c r="A3" s="25" t="s">
        <v>57</v>
      </c>
      <c r="B3" s="26" t="n">
        <v>46157</v>
      </c>
      <c r="C3" s="27" t="s">
        <v>58</v>
      </c>
      <c r="D3" s="27" t="s">
        <v>59</v>
      </c>
      <c r="E3" s="27" t="s">
        <v>24</v>
      </c>
      <c r="F3" s="28" t="s">
        <v>60</v>
      </c>
      <c r="G3" s="25" t="s">
        <v>61</v>
      </c>
      <c r="H3" s="25" t="s">
        <v>18</v>
      </c>
      <c r="I3" s="25" t="s">
        <v>7</v>
      </c>
      <c r="J3" s="26" t="n">
        <v>46160</v>
      </c>
      <c r="K3" s="26" t="n">
        <v>46161</v>
      </c>
      <c r="L3" s="27" t="s">
        <v>62</v>
      </c>
      <c r="M3" s="25" t="s">
        <v>63</v>
      </c>
      <c r="N3" s="26" t="n">
        <v>46162</v>
      </c>
      <c r="O3" s="29" t="n">
        <v>150000</v>
      </c>
      <c r="P3" s="29" t="n">
        <v>0</v>
      </c>
      <c r="Q3" s="30" t="n">
        <f aca="true">IF(B3="","",TODAY()-B3)</f>
        <v>4</v>
      </c>
      <c r="R3" s="27" t="s">
        <v>64</v>
      </c>
    </row>
    <row r="4" customFormat="false" ht="23.85" hidden="false" customHeight="false" outlineLevel="0" collapsed="false">
      <c r="A4" s="31" t="s">
        <v>65</v>
      </c>
      <c r="B4" s="32" t="n">
        <v>46159</v>
      </c>
      <c r="C4" s="33" t="s">
        <v>66</v>
      </c>
      <c r="D4" s="33" t="s">
        <v>67</v>
      </c>
      <c r="E4" s="33" t="s">
        <v>26</v>
      </c>
      <c r="F4" s="34" t="s">
        <v>68</v>
      </c>
      <c r="G4" s="31" t="s">
        <v>69</v>
      </c>
      <c r="H4" s="31" t="s">
        <v>19</v>
      </c>
      <c r="I4" s="31" t="s">
        <v>6</v>
      </c>
      <c r="J4" s="32" t="n">
        <v>46160</v>
      </c>
      <c r="K4" s="32" t="n">
        <v>46162</v>
      </c>
      <c r="L4" s="33" t="s">
        <v>70</v>
      </c>
      <c r="M4" s="31"/>
      <c r="N4" s="32"/>
      <c r="O4" s="35" t="n">
        <v>150000</v>
      </c>
      <c r="P4" s="35" t="n">
        <v>0</v>
      </c>
      <c r="Q4" s="36" t="n">
        <f aca="true">IF(B4="","",TODAY()-B4)</f>
        <v>2</v>
      </c>
      <c r="R4" s="33" t="s">
        <v>71</v>
      </c>
    </row>
    <row r="5" customFormat="false" ht="23.85" hidden="false" customHeight="false" outlineLevel="0" collapsed="false">
      <c r="A5" s="25" t="s">
        <v>72</v>
      </c>
      <c r="B5" s="26" t="n">
        <v>46160</v>
      </c>
      <c r="C5" s="27" t="s">
        <v>73</v>
      </c>
      <c r="D5" s="27" t="s">
        <v>74</v>
      </c>
      <c r="E5" s="27" t="s">
        <v>29</v>
      </c>
      <c r="F5" s="28" t="s">
        <v>75</v>
      </c>
      <c r="G5" s="25" t="s">
        <v>76</v>
      </c>
      <c r="H5" s="25" t="s">
        <v>18</v>
      </c>
      <c r="I5" s="25" t="s">
        <v>77</v>
      </c>
      <c r="J5" s="26"/>
      <c r="K5" s="26" t="n">
        <v>46161</v>
      </c>
      <c r="L5" s="27" t="s">
        <v>78</v>
      </c>
      <c r="M5" s="25"/>
      <c r="N5" s="26"/>
      <c r="O5" s="29" t="n">
        <v>0</v>
      </c>
      <c r="P5" s="29" t="n">
        <v>0</v>
      </c>
      <c r="Q5" s="30" t="n">
        <f aca="true">IF(B5="","",TODAY()-B5)</f>
        <v>1</v>
      </c>
      <c r="R5" s="27" t="s">
        <v>79</v>
      </c>
    </row>
    <row r="6" customFormat="false" ht="15" hidden="false" customHeight="false" outlineLevel="0" collapsed="false">
      <c r="A6" s="31" t="str">
        <f aca="false">IF(C6="","","L"&amp;TEXT(ROW()-2,"0000"))</f>
        <v/>
      </c>
      <c r="B6" s="32"/>
      <c r="C6" s="33"/>
      <c r="D6" s="33"/>
      <c r="E6" s="33"/>
      <c r="F6" s="34"/>
      <c r="G6" s="31"/>
      <c r="H6" s="31"/>
      <c r="I6" s="31"/>
      <c r="J6" s="32"/>
      <c r="K6" s="32"/>
      <c r="L6" s="33"/>
      <c r="M6" s="31"/>
      <c r="N6" s="32"/>
      <c r="O6" s="35"/>
      <c r="P6" s="35"/>
      <c r="Q6" s="36" t="str">
        <f aca="true">IF(B6="","",TODAY()-B6)</f>
        <v/>
      </c>
      <c r="R6" s="33"/>
    </row>
    <row r="7" customFormat="false" ht="15" hidden="false" customHeight="false" outlineLevel="0" collapsed="false">
      <c r="A7" s="25" t="str">
        <f aca="false">IF(C7="","","L"&amp;TEXT(ROW()-2,"0000"))</f>
        <v/>
      </c>
      <c r="B7" s="26"/>
      <c r="C7" s="27"/>
      <c r="D7" s="27"/>
      <c r="E7" s="27"/>
      <c r="F7" s="28"/>
      <c r="G7" s="25"/>
      <c r="H7" s="25"/>
      <c r="I7" s="25"/>
      <c r="J7" s="26"/>
      <c r="K7" s="26"/>
      <c r="L7" s="27"/>
      <c r="M7" s="25"/>
      <c r="N7" s="26"/>
      <c r="O7" s="29"/>
      <c r="P7" s="29"/>
      <c r="Q7" s="30" t="str">
        <f aca="true">IF(B7="","",TODAY()-B7)</f>
        <v/>
      </c>
      <c r="R7" s="27"/>
    </row>
    <row r="8" customFormat="false" ht="15" hidden="false" customHeight="false" outlineLevel="0" collapsed="false">
      <c r="A8" s="31" t="str">
        <f aca="false">IF(C8="","","L"&amp;TEXT(ROW()-2,"0000"))</f>
        <v/>
      </c>
      <c r="B8" s="32"/>
      <c r="C8" s="33"/>
      <c r="D8" s="33"/>
      <c r="E8" s="33"/>
      <c r="F8" s="34"/>
      <c r="G8" s="31"/>
      <c r="H8" s="31"/>
      <c r="I8" s="31"/>
      <c r="J8" s="32"/>
      <c r="K8" s="32"/>
      <c r="L8" s="33"/>
      <c r="M8" s="31"/>
      <c r="N8" s="32"/>
      <c r="O8" s="35"/>
      <c r="P8" s="35"/>
      <c r="Q8" s="36" t="str">
        <f aca="true">IF(B8="","",TODAY()-B8)</f>
        <v/>
      </c>
      <c r="R8" s="33"/>
    </row>
    <row r="9" customFormat="false" ht="15" hidden="false" customHeight="false" outlineLevel="0" collapsed="false">
      <c r="A9" s="25" t="str">
        <f aca="false">IF(C9="","","L"&amp;TEXT(ROW()-2,"0000"))</f>
        <v/>
      </c>
      <c r="B9" s="26"/>
      <c r="C9" s="27"/>
      <c r="D9" s="27"/>
      <c r="E9" s="27"/>
      <c r="F9" s="28"/>
      <c r="G9" s="25"/>
      <c r="H9" s="25"/>
      <c r="I9" s="25"/>
      <c r="J9" s="26"/>
      <c r="K9" s="26"/>
      <c r="L9" s="27"/>
      <c r="M9" s="25"/>
      <c r="N9" s="26"/>
      <c r="O9" s="29"/>
      <c r="P9" s="29"/>
      <c r="Q9" s="30" t="str">
        <f aca="true">IF(B9="","",TODAY()-B9)</f>
        <v/>
      </c>
      <c r="R9" s="27"/>
    </row>
    <row r="10" customFormat="false" ht="15" hidden="false" customHeight="false" outlineLevel="0" collapsed="false">
      <c r="A10" s="31" t="str">
        <f aca="false">IF(C10="","","L"&amp;TEXT(ROW()-2,"0000"))</f>
        <v/>
      </c>
      <c r="B10" s="32"/>
      <c r="C10" s="33"/>
      <c r="D10" s="33"/>
      <c r="E10" s="33"/>
      <c r="F10" s="34"/>
      <c r="G10" s="31"/>
      <c r="H10" s="31"/>
      <c r="I10" s="31"/>
      <c r="J10" s="32"/>
      <c r="K10" s="32"/>
      <c r="L10" s="33"/>
      <c r="M10" s="31"/>
      <c r="N10" s="32"/>
      <c r="O10" s="35"/>
      <c r="P10" s="35"/>
      <c r="Q10" s="36" t="str">
        <f aca="true">IF(B10="","",TODAY()-B10)</f>
        <v/>
      </c>
      <c r="R10" s="33"/>
    </row>
    <row r="11" customFormat="false" ht="15" hidden="false" customHeight="false" outlineLevel="0" collapsed="false">
      <c r="A11" s="25" t="str">
        <f aca="false">IF(C11="","","L"&amp;TEXT(ROW()-2,"0000"))</f>
        <v/>
      </c>
      <c r="B11" s="26"/>
      <c r="C11" s="27"/>
      <c r="D11" s="27"/>
      <c r="E11" s="27"/>
      <c r="F11" s="28"/>
      <c r="G11" s="25"/>
      <c r="H11" s="25"/>
      <c r="I11" s="25"/>
      <c r="J11" s="26"/>
      <c r="K11" s="26"/>
      <c r="L11" s="27"/>
      <c r="M11" s="25"/>
      <c r="N11" s="26"/>
      <c r="O11" s="29"/>
      <c r="P11" s="29"/>
      <c r="Q11" s="30" t="str">
        <f aca="true">IF(B11="","",TODAY()-B11)</f>
        <v/>
      </c>
      <c r="R11" s="27"/>
    </row>
    <row r="12" customFormat="false" ht="15" hidden="false" customHeight="false" outlineLevel="0" collapsed="false">
      <c r="A12" s="31" t="str">
        <f aca="false">IF(C12="","","L"&amp;TEXT(ROW()-2,"0000"))</f>
        <v/>
      </c>
      <c r="B12" s="32"/>
      <c r="C12" s="33"/>
      <c r="D12" s="33"/>
      <c r="E12" s="33"/>
      <c r="F12" s="34"/>
      <c r="G12" s="31"/>
      <c r="H12" s="31"/>
      <c r="I12" s="31"/>
      <c r="J12" s="32"/>
      <c r="K12" s="32"/>
      <c r="L12" s="33"/>
      <c r="M12" s="31"/>
      <c r="N12" s="32"/>
      <c r="O12" s="35"/>
      <c r="P12" s="35"/>
      <c r="Q12" s="36" t="str">
        <f aca="true">IF(B12="","",TODAY()-B12)</f>
        <v/>
      </c>
      <c r="R12" s="33"/>
    </row>
    <row r="13" customFormat="false" ht="15" hidden="false" customHeight="false" outlineLevel="0" collapsed="false">
      <c r="A13" s="25" t="str">
        <f aca="false">IF(C13="","","L"&amp;TEXT(ROW()-2,"0000"))</f>
        <v/>
      </c>
      <c r="B13" s="26"/>
      <c r="C13" s="27"/>
      <c r="D13" s="27"/>
      <c r="E13" s="27"/>
      <c r="F13" s="28"/>
      <c r="G13" s="25"/>
      <c r="H13" s="25"/>
      <c r="I13" s="25"/>
      <c r="J13" s="26"/>
      <c r="K13" s="26"/>
      <c r="L13" s="27"/>
      <c r="M13" s="25"/>
      <c r="N13" s="26"/>
      <c r="O13" s="29"/>
      <c r="P13" s="29"/>
      <c r="Q13" s="30" t="str">
        <f aca="true">IF(B13="","",TODAY()-B13)</f>
        <v/>
      </c>
      <c r="R13" s="27"/>
    </row>
    <row r="14" customFormat="false" ht="15" hidden="false" customHeight="false" outlineLevel="0" collapsed="false">
      <c r="A14" s="31" t="str">
        <f aca="false">IF(C14="","","L"&amp;TEXT(ROW()-2,"0000"))</f>
        <v/>
      </c>
      <c r="B14" s="32"/>
      <c r="C14" s="33"/>
      <c r="D14" s="33"/>
      <c r="E14" s="33"/>
      <c r="F14" s="34"/>
      <c r="G14" s="31"/>
      <c r="H14" s="31"/>
      <c r="I14" s="31"/>
      <c r="J14" s="32"/>
      <c r="K14" s="32"/>
      <c r="L14" s="33"/>
      <c r="M14" s="31"/>
      <c r="N14" s="32"/>
      <c r="O14" s="35"/>
      <c r="P14" s="35"/>
      <c r="Q14" s="36" t="str">
        <f aca="true">IF(B14="","",TODAY()-B14)</f>
        <v/>
      </c>
      <c r="R14" s="33"/>
    </row>
    <row r="15" customFormat="false" ht="15" hidden="false" customHeight="false" outlineLevel="0" collapsed="false">
      <c r="A15" s="25" t="str">
        <f aca="false">IF(C15="","","L"&amp;TEXT(ROW()-2,"0000"))</f>
        <v/>
      </c>
      <c r="B15" s="26"/>
      <c r="C15" s="27"/>
      <c r="D15" s="27"/>
      <c r="E15" s="27"/>
      <c r="F15" s="28"/>
      <c r="G15" s="25"/>
      <c r="H15" s="25"/>
      <c r="I15" s="25"/>
      <c r="J15" s="26"/>
      <c r="K15" s="26"/>
      <c r="L15" s="27"/>
      <c r="M15" s="25"/>
      <c r="N15" s="26"/>
      <c r="O15" s="29"/>
      <c r="P15" s="29"/>
      <c r="Q15" s="30" t="str">
        <f aca="true">IF(B15="","",TODAY()-B15)</f>
        <v/>
      </c>
      <c r="R15" s="27"/>
    </row>
    <row r="16" customFormat="false" ht="15" hidden="false" customHeight="false" outlineLevel="0" collapsed="false">
      <c r="A16" s="31" t="str">
        <f aca="false">IF(C16="","","L"&amp;TEXT(ROW()-2,"0000"))</f>
        <v/>
      </c>
      <c r="B16" s="32"/>
      <c r="C16" s="33"/>
      <c r="D16" s="33"/>
      <c r="E16" s="33"/>
      <c r="F16" s="34"/>
      <c r="G16" s="31"/>
      <c r="H16" s="31"/>
      <c r="I16" s="31"/>
      <c r="J16" s="32"/>
      <c r="K16" s="32"/>
      <c r="L16" s="33"/>
      <c r="M16" s="31"/>
      <c r="N16" s="32"/>
      <c r="O16" s="35"/>
      <c r="P16" s="35"/>
      <c r="Q16" s="36" t="str">
        <f aca="true">IF(B16="","",TODAY()-B16)</f>
        <v/>
      </c>
      <c r="R16" s="33"/>
    </row>
    <row r="17" customFormat="false" ht="15" hidden="false" customHeight="false" outlineLevel="0" collapsed="false">
      <c r="A17" s="25" t="str">
        <f aca="false">IF(C17="","","L"&amp;TEXT(ROW()-2,"0000"))</f>
        <v/>
      </c>
      <c r="B17" s="26"/>
      <c r="C17" s="27"/>
      <c r="D17" s="27"/>
      <c r="E17" s="27"/>
      <c r="F17" s="28"/>
      <c r="G17" s="25"/>
      <c r="H17" s="25"/>
      <c r="I17" s="25"/>
      <c r="J17" s="26"/>
      <c r="K17" s="26"/>
      <c r="L17" s="27"/>
      <c r="M17" s="25"/>
      <c r="N17" s="26"/>
      <c r="O17" s="29"/>
      <c r="P17" s="29"/>
      <c r="Q17" s="30" t="str">
        <f aca="true">IF(B17="","",TODAY()-B17)</f>
        <v/>
      </c>
      <c r="R17" s="27"/>
    </row>
    <row r="18" customFormat="false" ht="15" hidden="false" customHeight="false" outlineLevel="0" collapsed="false">
      <c r="A18" s="31" t="str">
        <f aca="false">IF(C18="","","L"&amp;TEXT(ROW()-2,"0000"))</f>
        <v/>
      </c>
      <c r="B18" s="32"/>
      <c r="C18" s="33"/>
      <c r="D18" s="33"/>
      <c r="E18" s="33"/>
      <c r="F18" s="34"/>
      <c r="G18" s="31"/>
      <c r="H18" s="31"/>
      <c r="I18" s="31"/>
      <c r="J18" s="32"/>
      <c r="K18" s="32"/>
      <c r="L18" s="33"/>
      <c r="M18" s="31"/>
      <c r="N18" s="32"/>
      <c r="O18" s="35"/>
      <c r="P18" s="35"/>
      <c r="Q18" s="36" t="str">
        <f aca="true">IF(B18="","",TODAY()-B18)</f>
        <v/>
      </c>
      <c r="R18" s="33"/>
    </row>
    <row r="19" customFormat="false" ht="15" hidden="false" customHeight="false" outlineLevel="0" collapsed="false">
      <c r="A19" s="25" t="str">
        <f aca="false">IF(C19="","","L"&amp;TEXT(ROW()-2,"0000"))</f>
        <v/>
      </c>
      <c r="B19" s="26"/>
      <c r="C19" s="27"/>
      <c r="D19" s="27"/>
      <c r="E19" s="27"/>
      <c r="F19" s="28"/>
      <c r="G19" s="25"/>
      <c r="H19" s="25"/>
      <c r="I19" s="25"/>
      <c r="J19" s="26"/>
      <c r="K19" s="26"/>
      <c r="L19" s="27"/>
      <c r="M19" s="25"/>
      <c r="N19" s="26"/>
      <c r="O19" s="29"/>
      <c r="P19" s="29"/>
      <c r="Q19" s="30" t="str">
        <f aca="true">IF(B19="","",TODAY()-B19)</f>
        <v/>
      </c>
      <c r="R19" s="27"/>
    </row>
    <row r="20" customFormat="false" ht="15" hidden="false" customHeight="false" outlineLevel="0" collapsed="false">
      <c r="A20" s="31" t="str">
        <f aca="false">IF(C20="","","L"&amp;TEXT(ROW()-2,"0000"))</f>
        <v/>
      </c>
      <c r="B20" s="32"/>
      <c r="C20" s="33"/>
      <c r="D20" s="33"/>
      <c r="E20" s="33"/>
      <c r="F20" s="34"/>
      <c r="G20" s="31"/>
      <c r="H20" s="31"/>
      <c r="I20" s="31"/>
      <c r="J20" s="32"/>
      <c r="K20" s="32"/>
      <c r="L20" s="33"/>
      <c r="M20" s="31"/>
      <c r="N20" s="32"/>
      <c r="O20" s="35"/>
      <c r="P20" s="35"/>
      <c r="Q20" s="36" t="str">
        <f aca="true">IF(B20="","",TODAY()-B20)</f>
        <v/>
      </c>
      <c r="R20" s="33"/>
    </row>
    <row r="21" customFormat="false" ht="15" hidden="false" customHeight="false" outlineLevel="0" collapsed="false">
      <c r="A21" s="25" t="str">
        <f aca="false">IF(C21="","","L"&amp;TEXT(ROW()-2,"0000"))</f>
        <v/>
      </c>
      <c r="B21" s="26"/>
      <c r="C21" s="27"/>
      <c r="D21" s="27"/>
      <c r="E21" s="27"/>
      <c r="F21" s="28"/>
      <c r="G21" s="25"/>
      <c r="H21" s="25"/>
      <c r="I21" s="25"/>
      <c r="J21" s="26"/>
      <c r="K21" s="26"/>
      <c r="L21" s="27"/>
      <c r="M21" s="25"/>
      <c r="N21" s="26"/>
      <c r="O21" s="29"/>
      <c r="P21" s="29"/>
      <c r="Q21" s="30" t="str">
        <f aca="true">IF(B21="","",TODAY()-B21)</f>
        <v/>
      </c>
      <c r="R21" s="27"/>
    </row>
    <row r="22" customFormat="false" ht="15" hidden="false" customHeight="false" outlineLevel="0" collapsed="false">
      <c r="A22" s="31" t="str">
        <f aca="false">IF(C22="","","L"&amp;TEXT(ROW()-2,"0000"))</f>
        <v/>
      </c>
      <c r="B22" s="32"/>
      <c r="C22" s="33"/>
      <c r="D22" s="33"/>
      <c r="E22" s="33"/>
      <c r="F22" s="34"/>
      <c r="G22" s="31"/>
      <c r="H22" s="31"/>
      <c r="I22" s="31"/>
      <c r="J22" s="32"/>
      <c r="K22" s="32"/>
      <c r="L22" s="33"/>
      <c r="M22" s="31"/>
      <c r="N22" s="32"/>
      <c r="O22" s="35"/>
      <c r="P22" s="35"/>
      <c r="Q22" s="36" t="str">
        <f aca="true">IF(B22="","",TODAY()-B22)</f>
        <v/>
      </c>
      <c r="R22" s="33"/>
    </row>
    <row r="23" customFormat="false" ht="15" hidden="false" customHeight="false" outlineLevel="0" collapsed="false">
      <c r="A23" s="25" t="str">
        <f aca="false">IF(C23="","","L"&amp;TEXT(ROW()-2,"0000"))</f>
        <v/>
      </c>
      <c r="B23" s="26"/>
      <c r="C23" s="27"/>
      <c r="D23" s="27"/>
      <c r="E23" s="27"/>
      <c r="F23" s="28"/>
      <c r="G23" s="25"/>
      <c r="H23" s="25"/>
      <c r="I23" s="25"/>
      <c r="J23" s="26"/>
      <c r="K23" s="26"/>
      <c r="L23" s="27"/>
      <c r="M23" s="25"/>
      <c r="N23" s="26"/>
      <c r="O23" s="29"/>
      <c r="P23" s="29"/>
      <c r="Q23" s="30" t="str">
        <f aca="true">IF(B23="","",TODAY()-B23)</f>
        <v/>
      </c>
      <c r="R23" s="27"/>
    </row>
    <row r="24" customFormat="false" ht="15" hidden="false" customHeight="false" outlineLevel="0" collapsed="false">
      <c r="A24" s="31" t="str">
        <f aca="false">IF(C24="","","L"&amp;TEXT(ROW()-2,"0000"))</f>
        <v/>
      </c>
      <c r="B24" s="32"/>
      <c r="C24" s="33"/>
      <c r="D24" s="33"/>
      <c r="E24" s="33"/>
      <c r="F24" s="34"/>
      <c r="G24" s="31"/>
      <c r="H24" s="31"/>
      <c r="I24" s="31"/>
      <c r="J24" s="32"/>
      <c r="K24" s="32"/>
      <c r="L24" s="33"/>
      <c r="M24" s="31"/>
      <c r="N24" s="32"/>
      <c r="O24" s="35"/>
      <c r="P24" s="35"/>
      <c r="Q24" s="36" t="str">
        <f aca="true">IF(B24="","",TODAY()-B24)</f>
        <v/>
      </c>
      <c r="R24" s="33"/>
    </row>
    <row r="25" customFormat="false" ht="15" hidden="false" customHeight="false" outlineLevel="0" collapsed="false">
      <c r="A25" s="25" t="str">
        <f aca="false">IF(C25="","","L"&amp;TEXT(ROW()-2,"0000"))</f>
        <v/>
      </c>
      <c r="B25" s="26"/>
      <c r="C25" s="27"/>
      <c r="D25" s="27"/>
      <c r="E25" s="27"/>
      <c r="F25" s="28"/>
      <c r="G25" s="25"/>
      <c r="H25" s="25"/>
      <c r="I25" s="25"/>
      <c r="J25" s="26"/>
      <c r="K25" s="26"/>
      <c r="L25" s="27"/>
      <c r="M25" s="25"/>
      <c r="N25" s="26"/>
      <c r="O25" s="29"/>
      <c r="P25" s="29"/>
      <c r="Q25" s="30" t="str">
        <f aca="true">IF(B25="","",TODAY()-B25)</f>
        <v/>
      </c>
      <c r="R25" s="27"/>
    </row>
    <row r="26" customFormat="false" ht="15" hidden="false" customHeight="false" outlineLevel="0" collapsed="false">
      <c r="A26" s="31" t="str">
        <f aca="false">IF(C26="","","L"&amp;TEXT(ROW()-2,"0000"))</f>
        <v/>
      </c>
      <c r="B26" s="32"/>
      <c r="C26" s="33"/>
      <c r="D26" s="33"/>
      <c r="E26" s="33"/>
      <c r="F26" s="34"/>
      <c r="G26" s="31"/>
      <c r="H26" s="31"/>
      <c r="I26" s="31"/>
      <c r="J26" s="32"/>
      <c r="K26" s="32"/>
      <c r="L26" s="33"/>
      <c r="M26" s="31"/>
      <c r="N26" s="32"/>
      <c r="O26" s="35"/>
      <c r="P26" s="35"/>
      <c r="Q26" s="36" t="str">
        <f aca="true">IF(B26="","",TODAY()-B26)</f>
        <v/>
      </c>
      <c r="R26" s="33"/>
    </row>
    <row r="27" customFormat="false" ht="15" hidden="false" customHeight="false" outlineLevel="0" collapsed="false">
      <c r="A27" s="25" t="str">
        <f aca="false">IF(C27="","","L"&amp;TEXT(ROW()-2,"0000"))</f>
        <v/>
      </c>
      <c r="B27" s="26"/>
      <c r="C27" s="27"/>
      <c r="D27" s="27"/>
      <c r="E27" s="27"/>
      <c r="F27" s="28"/>
      <c r="G27" s="25"/>
      <c r="H27" s="25"/>
      <c r="I27" s="25"/>
      <c r="J27" s="26"/>
      <c r="K27" s="26"/>
      <c r="L27" s="27"/>
      <c r="M27" s="25"/>
      <c r="N27" s="26"/>
      <c r="O27" s="29"/>
      <c r="P27" s="29"/>
      <c r="Q27" s="30" t="str">
        <f aca="true">IF(B27="","",TODAY()-B27)</f>
        <v/>
      </c>
      <c r="R27" s="27"/>
    </row>
    <row r="28" customFormat="false" ht="15" hidden="false" customHeight="false" outlineLevel="0" collapsed="false">
      <c r="A28" s="31" t="str">
        <f aca="false">IF(C28="","","L"&amp;TEXT(ROW()-2,"0000"))</f>
        <v/>
      </c>
      <c r="B28" s="32"/>
      <c r="C28" s="33"/>
      <c r="D28" s="33"/>
      <c r="E28" s="33"/>
      <c r="F28" s="34"/>
      <c r="G28" s="31"/>
      <c r="H28" s="31"/>
      <c r="I28" s="31"/>
      <c r="J28" s="32"/>
      <c r="K28" s="32"/>
      <c r="L28" s="33"/>
      <c r="M28" s="31"/>
      <c r="N28" s="32"/>
      <c r="O28" s="35"/>
      <c r="P28" s="35"/>
      <c r="Q28" s="36" t="str">
        <f aca="true">IF(B28="","",TODAY()-B28)</f>
        <v/>
      </c>
      <c r="R28" s="33"/>
    </row>
    <row r="29" customFormat="false" ht="15" hidden="false" customHeight="false" outlineLevel="0" collapsed="false">
      <c r="A29" s="25" t="str">
        <f aca="false">IF(C29="","","L"&amp;TEXT(ROW()-2,"0000"))</f>
        <v/>
      </c>
      <c r="B29" s="26"/>
      <c r="C29" s="27"/>
      <c r="D29" s="27"/>
      <c r="E29" s="27"/>
      <c r="F29" s="28"/>
      <c r="G29" s="25"/>
      <c r="H29" s="25"/>
      <c r="I29" s="25"/>
      <c r="J29" s="26"/>
      <c r="K29" s="26"/>
      <c r="L29" s="27"/>
      <c r="M29" s="25"/>
      <c r="N29" s="26"/>
      <c r="O29" s="29"/>
      <c r="P29" s="29"/>
      <c r="Q29" s="30" t="str">
        <f aca="true">IF(B29="","",TODAY()-B29)</f>
        <v/>
      </c>
      <c r="R29" s="27"/>
    </row>
    <row r="30" customFormat="false" ht="15" hidden="false" customHeight="false" outlineLevel="0" collapsed="false">
      <c r="A30" s="31" t="str">
        <f aca="false">IF(C30="","","L"&amp;TEXT(ROW()-2,"0000"))</f>
        <v/>
      </c>
      <c r="B30" s="32"/>
      <c r="C30" s="33"/>
      <c r="D30" s="33"/>
      <c r="E30" s="33"/>
      <c r="F30" s="34"/>
      <c r="G30" s="31"/>
      <c r="H30" s="31"/>
      <c r="I30" s="31"/>
      <c r="J30" s="32"/>
      <c r="K30" s="32"/>
      <c r="L30" s="33"/>
      <c r="M30" s="31"/>
      <c r="N30" s="32"/>
      <c r="O30" s="35"/>
      <c r="P30" s="35"/>
      <c r="Q30" s="36" t="str">
        <f aca="true">IF(B30="","",TODAY()-B30)</f>
        <v/>
      </c>
      <c r="R30" s="33"/>
    </row>
    <row r="31" customFormat="false" ht="15" hidden="false" customHeight="false" outlineLevel="0" collapsed="false">
      <c r="A31" s="25" t="str">
        <f aca="false">IF(C31="","","L"&amp;TEXT(ROW()-2,"0000"))</f>
        <v/>
      </c>
      <c r="B31" s="26"/>
      <c r="C31" s="27"/>
      <c r="D31" s="27"/>
      <c r="E31" s="27"/>
      <c r="F31" s="28"/>
      <c r="G31" s="25"/>
      <c r="H31" s="25"/>
      <c r="I31" s="25"/>
      <c r="J31" s="26"/>
      <c r="K31" s="26"/>
      <c r="L31" s="27"/>
      <c r="M31" s="25"/>
      <c r="N31" s="26"/>
      <c r="O31" s="29"/>
      <c r="P31" s="29"/>
      <c r="Q31" s="30" t="str">
        <f aca="true">IF(B31="","",TODAY()-B31)</f>
        <v/>
      </c>
      <c r="R31" s="27"/>
    </row>
    <row r="32" customFormat="false" ht="15" hidden="false" customHeight="false" outlineLevel="0" collapsed="false">
      <c r="A32" s="31" t="str">
        <f aca="false">IF(C32="","","L"&amp;TEXT(ROW()-2,"0000"))</f>
        <v/>
      </c>
      <c r="B32" s="32"/>
      <c r="C32" s="33"/>
      <c r="D32" s="33"/>
      <c r="E32" s="33"/>
      <c r="F32" s="34"/>
      <c r="G32" s="31"/>
      <c r="H32" s="31"/>
      <c r="I32" s="31"/>
      <c r="J32" s="32"/>
      <c r="K32" s="32"/>
      <c r="L32" s="33"/>
      <c r="M32" s="31"/>
      <c r="N32" s="32"/>
      <c r="O32" s="35"/>
      <c r="P32" s="35"/>
      <c r="Q32" s="36" t="str">
        <f aca="true">IF(B32="","",TODAY()-B32)</f>
        <v/>
      </c>
      <c r="R32" s="33"/>
    </row>
    <row r="33" customFormat="false" ht="15" hidden="false" customHeight="false" outlineLevel="0" collapsed="false">
      <c r="A33" s="25" t="str">
        <f aca="false">IF(C33="","","L"&amp;TEXT(ROW()-2,"0000"))</f>
        <v/>
      </c>
      <c r="B33" s="26"/>
      <c r="C33" s="27"/>
      <c r="D33" s="27"/>
      <c r="E33" s="27"/>
      <c r="F33" s="28"/>
      <c r="G33" s="25"/>
      <c r="H33" s="25"/>
      <c r="I33" s="25"/>
      <c r="J33" s="26"/>
      <c r="K33" s="26"/>
      <c r="L33" s="27"/>
      <c r="M33" s="25"/>
      <c r="N33" s="26"/>
      <c r="O33" s="29"/>
      <c r="P33" s="29"/>
      <c r="Q33" s="30" t="str">
        <f aca="true">IF(B33="","",TODAY()-B33)</f>
        <v/>
      </c>
      <c r="R33" s="27"/>
    </row>
    <row r="34" customFormat="false" ht="15" hidden="false" customHeight="false" outlineLevel="0" collapsed="false">
      <c r="A34" s="31" t="str">
        <f aca="false">IF(C34="","","L"&amp;TEXT(ROW()-2,"0000"))</f>
        <v/>
      </c>
      <c r="B34" s="32"/>
      <c r="C34" s="33"/>
      <c r="D34" s="33"/>
      <c r="E34" s="33"/>
      <c r="F34" s="34"/>
      <c r="G34" s="31"/>
      <c r="H34" s="31"/>
      <c r="I34" s="31"/>
      <c r="J34" s="32"/>
      <c r="K34" s="32"/>
      <c r="L34" s="33"/>
      <c r="M34" s="31"/>
      <c r="N34" s="32"/>
      <c r="O34" s="35"/>
      <c r="P34" s="35"/>
      <c r="Q34" s="36" t="str">
        <f aca="true">IF(B34="","",TODAY()-B34)</f>
        <v/>
      </c>
      <c r="R34" s="33"/>
    </row>
    <row r="35" customFormat="false" ht="15" hidden="false" customHeight="false" outlineLevel="0" collapsed="false">
      <c r="A35" s="25" t="str">
        <f aca="false">IF(C35="","","L"&amp;TEXT(ROW()-2,"0000"))</f>
        <v/>
      </c>
      <c r="B35" s="26"/>
      <c r="C35" s="27"/>
      <c r="D35" s="27"/>
      <c r="E35" s="27"/>
      <c r="F35" s="28"/>
      <c r="G35" s="25"/>
      <c r="H35" s="25"/>
      <c r="I35" s="25"/>
      <c r="J35" s="26"/>
      <c r="K35" s="26"/>
      <c r="L35" s="27"/>
      <c r="M35" s="25"/>
      <c r="N35" s="26"/>
      <c r="O35" s="29"/>
      <c r="P35" s="29"/>
      <c r="Q35" s="30" t="str">
        <f aca="true">IF(B35="","",TODAY()-B35)</f>
        <v/>
      </c>
      <c r="R35" s="27"/>
    </row>
    <row r="36" customFormat="false" ht="15" hidden="false" customHeight="false" outlineLevel="0" collapsed="false">
      <c r="A36" s="31" t="str">
        <f aca="false">IF(C36="","","L"&amp;TEXT(ROW()-2,"0000"))</f>
        <v/>
      </c>
      <c r="B36" s="32"/>
      <c r="C36" s="33"/>
      <c r="D36" s="33"/>
      <c r="E36" s="33"/>
      <c r="F36" s="34"/>
      <c r="G36" s="31"/>
      <c r="H36" s="31"/>
      <c r="I36" s="31"/>
      <c r="J36" s="32"/>
      <c r="K36" s="32"/>
      <c r="L36" s="33"/>
      <c r="M36" s="31"/>
      <c r="N36" s="32"/>
      <c r="O36" s="35"/>
      <c r="P36" s="35"/>
      <c r="Q36" s="36" t="str">
        <f aca="true">IF(B36="","",TODAY()-B36)</f>
        <v/>
      </c>
      <c r="R36" s="33"/>
    </row>
    <row r="37" customFormat="false" ht="15" hidden="false" customHeight="false" outlineLevel="0" collapsed="false">
      <c r="A37" s="25" t="str">
        <f aca="false">IF(C37="","","L"&amp;TEXT(ROW()-2,"0000"))</f>
        <v/>
      </c>
      <c r="B37" s="26"/>
      <c r="C37" s="27"/>
      <c r="D37" s="27"/>
      <c r="E37" s="27"/>
      <c r="F37" s="28"/>
      <c r="G37" s="25"/>
      <c r="H37" s="25"/>
      <c r="I37" s="25"/>
      <c r="J37" s="26"/>
      <c r="K37" s="26"/>
      <c r="L37" s="27"/>
      <c r="M37" s="25"/>
      <c r="N37" s="26"/>
      <c r="O37" s="29"/>
      <c r="P37" s="29"/>
      <c r="Q37" s="30" t="str">
        <f aca="true">IF(B37="","",TODAY()-B37)</f>
        <v/>
      </c>
      <c r="R37" s="27"/>
    </row>
    <row r="38" customFormat="false" ht="15" hidden="false" customHeight="false" outlineLevel="0" collapsed="false">
      <c r="A38" s="31" t="str">
        <f aca="false">IF(C38="","","L"&amp;TEXT(ROW()-2,"0000"))</f>
        <v/>
      </c>
      <c r="B38" s="32"/>
      <c r="C38" s="33"/>
      <c r="D38" s="33"/>
      <c r="E38" s="33"/>
      <c r="F38" s="34"/>
      <c r="G38" s="31"/>
      <c r="H38" s="31"/>
      <c r="I38" s="31"/>
      <c r="J38" s="32"/>
      <c r="K38" s="32"/>
      <c r="L38" s="33"/>
      <c r="M38" s="31"/>
      <c r="N38" s="32"/>
      <c r="O38" s="35"/>
      <c r="P38" s="35"/>
      <c r="Q38" s="36" t="str">
        <f aca="true">IF(B38="","",TODAY()-B38)</f>
        <v/>
      </c>
      <c r="R38" s="33"/>
    </row>
    <row r="39" customFormat="false" ht="15" hidden="false" customHeight="false" outlineLevel="0" collapsed="false">
      <c r="A39" s="25" t="str">
        <f aca="false">IF(C39="","","L"&amp;TEXT(ROW()-2,"0000"))</f>
        <v/>
      </c>
      <c r="B39" s="26"/>
      <c r="C39" s="27"/>
      <c r="D39" s="27"/>
      <c r="E39" s="27"/>
      <c r="F39" s="28"/>
      <c r="G39" s="25"/>
      <c r="H39" s="25"/>
      <c r="I39" s="25"/>
      <c r="J39" s="26"/>
      <c r="K39" s="26"/>
      <c r="L39" s="27"/>
      <c r="M39" s="25"/>
      <c r="N39" s="26"/>
      <c r="O39" s="29"/>
      <c r="P39" s="29"/>
      <c r="Q39" s="30" t="str">
        <f aca="true">IF(B39="","",TODAY()-B39)</f>
        <v/>
      </c>
      <c r="R39" s="27"/>
    </row>
    <row r="40" customFormat="false" ht="15" hidden="false" customHeight="false" outlineLevel="0" collapsed="false">
      <c r="A40" s="31" t="str">
        <f aca="false">IF(C40="","","L"&amp;TEXT(ROW()-2,"0000"))</f>
        <v/>
      </c>
      <c r="B40" s="32"/>
      <c r="C40" s="33"/>
      <c r="D40" s="33"/>
      <c r="E40" s="33"/>
      <c r="F40" s="34"/>
      <c r="G40" s="31"/>
      <c r="H40" s="31"/>
      <c r="I40" s="31"/>
      <c r="J40" s="32"/>
      <c r="K40" s="32"/>
      <c r="L40" s="33"/>
      <c r="M40" s="31"/>
      <c r="N40" s="32"/>
      <c r="O40" s="35"/>
      <c r="P40" s="35"/>
      <c r="Q40" s="36" t="str">
        <f aca="true">IF(B40="","",TODAY()-B40)</f>
        <v/>
      </c>
      <c r="R40" s="33"/>
    </row>
    <row r="41" customFormat="false" ht="15" hidden="false" customHeight="false" outlineLevel="0" collapsed="false">
      <c r="A41" s="25" t="str">
        <f aca="false">IF(C41="","","L"&amp;TEXT(ROW()-2,"0000"))</f>
        <v/>
      </c>
      <c r="B41" s="26"/>
      <c r="C41" s="27"/>
      <c r="D41" s="27"/>
      <c r="E41" s="27"/>
      <c r="F41" s="28"/>
      <c r="G41" s="25"/>
      <c r="H41" s="25"/>
      <c r="I41" s="25"/>
      <c r="J41" s="26"/>
      <c r="K41" s="26"/>
      <c r="L41" s="27"/>
      <c r="M41" s="25"/>
      <c r="N41" s="26"/>
      <c r="O41" s="29"/>
      <c r="P41" s="29"/>
      <c r="Q41" s="30" t="str">
        <f aca="true">IF(B41="","",TODAY()-B41)</f>
        <v/>
      </c>
      <c r="R41" s="27"/>
    </row>
    <row r="42" customFormat="false" ht="15" hidden="false" customHeight="false" outlineLevel="0" collapsed="false">
      <c r="A42" s="31" t="str">
        <f aca="false">IF(C42="","","L"&amp;TEXT(ROW()-2,"0000"))</f>
        <v/>
      </c>
      <c r="B42" s="32"/>
      <c r="C42" s="33"/>
      <c r="D42" s="33"/>
      <c r="E42" s="33"/>
      <c r="F42" s="34"/>
      <c r="G42" s="31"/>
      <c r="H42" s="31"/>
      <c r="I42" s="31"/>
      <c r="J42" s="32"/>
      <c r="K42" s="32"/>
      <c r="L42" s="33"/>
      <c r="M42" s="31"/>
      <c r="N42" s="32"/>
      <c r="O42" s="35"/>
      <c r="P42" s="35"/>
      <c r="Q42" s="36" t="str">
        <f aca="true">IF(B42="","",TODAY()-B42)</f>
        <v/>
      </c>
      <c r="R42" s="33"/>
    </row>
    <row r="43" customFormat="false" ht="15" hidden="false" customHeight="false" outlineLevel="0" collapsed="false">
      <c r="A43" s="25" t="str">
        <f aca="false">IF(C43="","","L"&amp;TEXT(ROW()-2,"0000"))</f>
        <v/>
      </c>
      <c r="B43" s="26"/>
      <c r="C43" s="27"/>
      <c r="D43" s="27"/>
      <c r="E43" s="27"/>
      <c r="F43" s="28"/>
      <c r="G43" s="25"/>
      <c r="H43" s="25"/>
      <c r="I43" s="25"/>
      <c r="J43" s="26"/>
      <c r="K43" s="26"/>
      <c r="L43" s="27"/>
      <c r="M43" s="25"/>
      <c r="N43" s="26"/>
      <c r="O43" s="29"/>
      <c r="P43" s="29"/>
      <c r="Q43" s="30" t="str">
        <f aca="true">IF(B43="","",TODAY()-B43)</f>
        <v/>
      </c>
      <c r="R43" s="27"/>
    </row>
    <row r="44" customFormat="false" ht="15" hidden="false" customHeight="false" outlineLevel="0" collapsed="false">
      <c r="A44" s="31" t="str">
        <f aca="false">IF(C44="","","L"&amp;TEXT(ROW()-2,"0000"))</f>
        <v/>
      </c>
      <c r="B44" s="32"/>
      <c r="C44" s="33"/>
      <c r="D44" s="33"/>
      <c r="E44" s="33"/>
      <c r="F44" s="34"/>
      <c r="G44" s="31"/>
      <c r="H44" s="31"/>
      <c r="I44" s="31"/>
      <c r="J44" s="32"/>
      <c r="K44" s="32"/>
      <c r="L44" s="33"/>
      <c r="M44" s="31"/>
      <c r="N44" s="32"/>
      <c r="O44" s="35"/>
      <c r="P44" s="35"/>
      <c r="Q44" s="36" t="str">
        <f aca="true">IF(B44="","",TODAY()-B44)</f>
        <v/>
      </c>
      <c r="R44" s="33"/>
    </row>
    <row r="45" customFormat="false" ht="15" hidden="false" customHeight="false" outlineLevel="0" collapsed="false">
      <c r="A45" s="25" t="str">
        <f aca="false">IF(C45="","","L"&amp;TEXT(ROW()-2,"0000"))</f>
        <v/>
      </c>
      <c r="B45" s="26"/>
      <c r="C45" s="27"/>
      <c r="D45" s="27"/>
      <c r="E45" s="27"/>
      <c r="F45" s="28"/>
      <c r="G45" s="25"/>
      <c r="H45" s="25"/>
      <c r="I45" s="25"/>
      <c r="J45" s="26"/>
      <c r="K45" s="26"/>
      <c r="L45" s="27"/>
      <c r="M45" s="25"/>
      <c r="N45" s="26"/>
      <c r="O45" s="29"/>
      <c r="P45" s="29"/>
      <c r="Q45" s="30" t="str">
        <f aca="true">IF(B45="","",TODAY()-B45)</f>
        <v/>
      </c>
      <c r="R45" s="27"/>
    </row>
    <row r="46" customFormat="false" ht="15" hidden="false" customHeight="false" outlineLevel="0" collapsed="false">
      <c r="A46" s="31" t="str">
        <f aca="false">IF(C46="","","L"&amp;TEXT(ROW()-2,"0000"))</f>
        <v/>
      </c>
      <c r="B46" s="32"/>
      <c r="C46" s="33"/>
      <c r="D46" s="33"/>
      <c r="E46" s="33"/>
      <c r="F46" s="34"/>
      <c r="G46" s="31"/>
      <c r="H46" s="31"/>
      <c r="I46" s="31"/>
      <c r="J46" s="32"/>
      <c r="K46" s="32"/>
      <c r="L46" s="33"/>
      <c r="M46" s="31"/>
      <c r="N46" s="32"/>
      <c r="O46" s="35"/>
      <c r="P46" s="35"/>
      <c r="Q46" s="36" t="str">
        <f aca="true">IF(B46="","",TODAY()-B46)</f>
        <v/>
      </c>
      <c r="R46" s="33"/>
    </row>
    <row r="47" customFormat="false" ht="15" hidden="false" customHeight="false" outlineLevel="0" collapsed="false">
      <c r="A47" s="25" t="str">
        <f aca="false">IF(C47="","","L"&amp;TEXT(ROW()-2,"0000"))</f>
        <v/>
      </c>
      <c r="B47" s="26"/>
      <c r="C47" s="27"/>
      <c r="D47" s="27"/>
      <c r="E47" s="27"/>
      <c r="F47" s="28"/>
      <c r="G47" s="25"/>
      <c r="H47" s="25"/>
      <c r="I47" s="25"/>
      <c r="J47" s="26"/>
      <c r="K47" s="26"/>
      <c r="L47" s="27"/>
      <c r="M47" s="25"/>
      <c r="N47" s="26"/>
      <c r="O47" s="29"/>
      <c r="P47" s="29"/>
      <c r="Q47" s="30" t="str">
        <f aca="true">IF(B47="","",TODAY()-B47)</f>
        <v/>
      </c>
      <c r="R47" s="27"/>
    </row>
    <row r="48" customFormat="false" ht="15" hidden="false" customHeight="false" outlineLevel="0" collapsed="false">
      <c r="A48" s="31" t="str">
        <f aca="false">IF(C48="","","L"&amp;TEXT(ROW()-2,"0000"))</f>
        <v/>
      </c>
      <c r="B48" s="32"/>
      <c r="C48" s="33"/>
      <c r="D48" s="33"/>
      <c r="E48" s="33"/>
      <c r="F48" s="34"/>
      <c r="G48" s="31"/>
      <c r="H48" s="31"/>
      <c r="I48" s="31"/>
      <c r="J48" s="32"/>
      <c r="K48" s="32"/>
      <c r="L48" s="33"/>
      <c r="M48" s="31"/>
      <c r="N48" s="32"/>
      <c r="O48" s="35"/>
      <c r="P48" s="35"/>
      <c r="Q48" s="36" t="str">
        <f aca="true">IF(B48="","",TODAY()-B48)</f>
        <v/>
      </c>
      <c r="R48" s="33"/>
    </row>
    <row r="49" customFormat="false" ht="15" hidden="false" customHeight="false" outlineLevel="0" collapsed="false">
      <c r="A49" s="25" t="str">
        <f aca="false">IF(C49="","","L"&amp;TEXT(ROW()-2,"0000"))</f>
        <v/>
      </c>
      <c r="B49" s="26"/>
      <c r="C49" s="27"/>
      <c r="D49" s="27"/>
      <c r="E49" s="27"/>
      <c r="F49" s="28"/>
      <c r="G49" s="25"/>
      <c r="H49" s="25"/>
      <c r="I49" s="25"/>
      <c r="J49" s="26"/>
      <c r="K49" s="26"/>
      <c r="L49" s="27"/>
      <c r="M49" s="25"/>
      <c r="N49" s="26"/>
      <c r="O49" s="29"/>
      <c r="P49" s="29"/>
      <c r="Q49" s="30" t="str">
        <f aca="true">IF(B49="","",TODAY()-B49)</f>
        <v/>
      </c>
      <c r="R49" s="27"/>
    </row>
    <row r="50" customFormat="false" ht="15" hidden="false" customHeight="false" outlineLevel="0" collapsed="false">
      <c r="A50" s="31" t="str">
        <f aca="false">IF(C50="","","L"&amp;TEXT(ROW()-2,"0000"))</f>
        <v/>
      </c>
      <c r="B50" s="32"/>
      <c r="C50" s="33"/>
      <c r="D50" s="33"/>
      <c r="E50" s="33"/>
      <c r="F50" s="34"/>
      <c r="G50" s="31"/>
      <c r="H50" s="31"/>
      <c r="I50" s="31"/>
      <c r="J50" s="32"/>
      <c r="K50" s="32"/>
      <c r="L50" s="33"/>
      <c r="M50" s="31"/>
      <c r="N50" s="32"/>
      <c r="O50" s="35"/>
      <c r="P50" s="35"/>
      <c r="Q50" s="36" t="str">
        <f aca="true">IF(B50="","",TODAY()-B50)</f>
        <v/>
      </c>
      <c r="R50" s="33"/>
    </row>
    <row r="51" customFormat="false" ht="15" hidden="false" customHeight="false" outlineLevel="0" collapsed="false">
      <c r="A51" s="25" t="str">
        <f aca="false">IF(C51="","","L"&amp;TEXT(ROW()-2,"0000"))</f>
        <v/>
      </c>
      <c r="B51" s="26"/>
      <c r="C51" s="27"/>
      <c r="D51" s="27"/>
      <c r="E51" s="27"/>
      <c r="F51" s="28"/>
      <c r="G51" s="25"/>
      <c r="H51" s="25"/>
      <c r="I51" s="25"/>
      <c r="J51" s="26"/>
      <c r="K51" s="26"/>
      <c r="L51" s="27"/>
      <c r="M51" s="25"/>
      <c r="N51" s="26"/>
      <c r="O51" s="29"/>
      <c r="P51" s="29"/>
      <c r="Q51" s="30" t="str">
        <f aca="true">IF(B51="","",TODAY()-B51)</f>
        <v/>
      </c>
      <c r="R51" s="27"/>
    </row>
    <row r="52" customFormat="false" ht="15" hidden="false" customHeight="false" outlineLevel="0" collapsed="false">
      <c r="A52" s="31" t="str">
        <f aca="false">IF(C52="","","L"&amp;TEXT(ROW()-2,"0000"))</f>
        <v/>
      </c>
      <c r="B52" s="32"/>
      <c r="C52" s="33"/>
      <c r="D52" s="33"/>
      <c r="E52" s="33"/>
      <c r="F52" s="34"/>
      <c r="G52" s="31"/>
      <c r="H52" s="31"/>
      <c r="I52" s="31"/>
      <c r="J52" s="32"/>
      <c r="K52" s="32"/>
      <c r="L52" s="33"/>
      <c r="M52" s="31"/>
      <c r="N52" s="32"/>
      <c r="O52" s="35"/>
      <c r="P52" s="35"/>
      <c r="Q52" s="36" t="str">
        <f aca="true">IF(B52="","",TODAY()-B52)</f>
        <v/>
      </c>
      <c r="R52" s="33"/>
    </row>
    <row r="53" customFormat="false" ht="15" hidden="false" customHeight="false" outlineLevel="0" collapsed="false">
      <c r="A53" s="25" t="str">
        <f aca="false">IF(C53="","","L"&amp;TEXT(ROW()-2,"0000"))</f>
        <v/>
      </c>
      <c r="B53" s="26"/>
      <c r="C53" s="27"/>
      <c r="D53" s="27"/>
      <c r="E53" s="27"/>
      <c r="F53" s="28"/>
      <c r="G53" s="25"/>
      <c r="H53" s="25"/>
      <c r="I53" s="25"/>
      <c r="J53" s="26"/>
      <c r="K53" s="26"/>
      <c r="L53" s="27"/>
      <c r="M53" s="25"/>
      <c r="N53" s="26"/>
      <c r="O53" s="29"/>
      <c r="P53" s="29"/>
      <c r="Q53" s="30" t="str">
        <f aca="true">IF(B53="","",TODAY()-B53)</f>
        <v/>
      </c>
      <c r="R53" s="27"/>
    </row>
    <row r="54" customFormat="false" ht="15" hidden="false" customHeight="false" outlineLevel="0" collapsed="false">
      <c r="A54" s="31" t="str">
        <f aca="false">IF(C54="","","L"&amp;TEXT(ROW()-2,"0000"))</f>
        <v/>
      </c>
      <c r="B54" s="32"/>
      <c r="C54" s="33"/>
      <c r="D54" s="33"/>
      <c r="E54" s="33"/>
      <c r="F54" s="34"/>
      <c r="G54" s="31"/>
      <c r="H54" s="31"/>
      <c r="I54" s="31"/>
      <c r="J54" s="32"/>
      <c r="K54" s="32"/>
      <c r="L54" s="33"/>
      <c r="M54" s="31"/>
      <c r="N54" s="32"/>
      <c r="O54" s="35"/>
      <c r="P54" s="35"/>
      <c r="Q54" s="36" t="str">
        <f aca="true">IF(B54="","",TODAY()-B54)</f>
        <v/>
      </c>
      <c r="R54" s="33"/>
    </row>
    <row r="55" customFormat="false" ht="15" hidden="false" customHeight="false" outlineLevel="0" collapsed="false">
      <c r="A55" s="25" t="str">
        <f aca="false">IF(C55="","","L"&amp;TEXT(ROW()-2,"0000"))</f>
        <v/>
      </c>
      <c r="B55" s="26"/>
      <c r="C55" s="27"/>
      <c r="D55" s="27"/>
      <c r="E55" s="27"/>
      <c r="F55" s="28"/>
      <c r="G55" s="25"/>
      <c r="H55" s="25"/>
      <c r="I55" s="25"/>
      <c r="J55" s="26"/>
      <c r="K55" s="26"/>
      <c r="L55" s="27"/>
      <c r="M55" s="25"/>
      <c r="N55" s="26"/>
      <c r="O55" s="29"/>
      <c r="P55" s="29"/>
      <c r="Q55" s="30" t="str">
        <f aca="true">IF(B55="","",TODAY()-B55)</f>
        <v/>
      </c>
      <c r="R55" s="27"/>
    </row>
    <row r="56" customFormat="false" ht="15" hidden="false" customHeight="false" outlineLevel="0" collapsed="false">
      <c r="A56" s="31" t="str">
        <f aca="false">IF(C56="","","L"&amp;TEXT(ROW()-2,"0000"))</f>
        <v/>
      </c>
      <c r="B56" s="32"/>
      <c r="C56" s="33"/>
      <c r="D56" s="33"/>
      <c r="E56" s="33"/>
      <c r="F56" s="34"/>
      <c r="G56" s="31"/>
      <c r="H56" s="31"/>
      <c r="I56" s="31"/>
      <c r="J56" s="32"/>
      <c r="K56" s="32"/>
      <c r="L56" s="33"/>
      <c r="M56" s="31"/>
      <c r="N56" s="32"/>
      <c r="O56" s="35"/>
      <c r="P56" s="35"/>
      <c r="Q56" s="36" t="str">
        <f aca="true">IF(B56="","",TODAY()-B56)</f>
        <v/>
      </c>
      <c r="R56" s="33"/>
    </row>
    <row r="57" customFormat="false" ht="15" hidden="false" customHeight="false" outlineLevel="0" collapsed="false">
      <c r="A57" s="25" t="str">
        <f aca="false">IF(C57="","","L"&amp;TEXT(ROW()-2,"0000"))</f>
        <v/>
      </c>
      <c r="B57" s="26"/>
      <c r="C57" s="27"/>
      <c r="D57" s="27"/>
      <c r="E57" s="27"/>
      <c r="F57" s="28"/>
      <c r="G57" s="25"/>
      <c r="H57" s="25"/>
      <c r="I57" s="25"/>
      <c r="J57" s="26"/>
      <c r="K57" s="26"/>
      <c r="L57" s="27"/>
      <c r="M57" s="25"/>
      <c r="N57" s="26"/>
      <c r="O57" s="29"/>
      <c r="P57" s="29"/>
      <c r="Q57" s="30" t="str">
        <f aca="true">IF(B57="","",TODAY()-B57)</f>
        <v/>
      </c>
      <c r="R57" s="27"/>
    </row>
    <row r="58" customFormat="false" ht="15" hidden="false" customHeight="false" outlineLevel="0" collapsed="false">
      <c r="A58" s="31" t="str">
        <f aca="false">IF(C58="","","L"&amp;TEXT(ROW()-2,"0000"))</f>
        <v/>
      </c>
      <c r="B58" s="32"/>
      <c r="C58" s="33"/>
      <c r="D58" s="33"/>
      <c r="E58" s="33"/>
      <c r="F58" s="34"/>
      <c r="G58" s="31"/>
      <c r="H58" s="31"/>
      <c r="I58" s="31"/>
      <c r="J58" s="32"/>
      <c r="K58" s="32"/>
      <c r="L58" s="33"/>
      <c r="M58" s="31"/>
      <c r="N58" s="32"/>
      <c r="O58" s="35"/>
      <c r="P58" s="35"/>
      <c r="Q58" s="36" t="str">
        <f aca="true">IF(B58="","",TODAY()-B58)</f>
        <v/>
      </c>
      <c r="R58" s="33"/>
    </row>
    <row r="59" customFormat="false" ht="15" hidden="false" customHeight="false" outlineLevel="0" collapsed="false">
      <c r="A59" s="25" t="str">
        <f aca="false">IF(C59="","","L"&amp;TEXT(ROW()-2,"0000"))</f>
        <v/>
      </c>
      <c r="B59" s="26"/>
      <c r="C59" s="27"/>
      <c r="D59" s="27"/>
      <c r="E59" s="27"/>
      <c r="F59" s="28"/>
      <c r="G59" s="25"/>
      <c r="H59" s="25"/>
      <c r="I59" s="25"/>
      <c r="J59" s="26"/>
      <c r="K59" s="26"/>
      <c r="L59" s="27"/>
      <c r="M59" s="25"/>
      <c r="N59" s="26"/>
      <c r="O59" s="29"/>
      <c r="P59" s="29"/>
      <c r="Q59" s="30" t="str">
        <f aca="true">IF(B59="","",TODAY()-B59)</f>
        <v/>
      </c>
      <c r="R59" s="27"/>
    </row>
    <row r="60" customFormat="false" ht="15" hidden="false" customHeight="false" outlineLevel="0" collapsed="false">
      <c r="A60" s="31" t="str">
        <f aca="false">IF(C60="","","L"&amp;TEXT(ROW()-2,"0000"))</f>
        <v/>
      </c>
      <c r="B60" s="32"/>
      <c r="C60" s="33"/>
      <c r="D60" s="33"/>
      <c r="E60" s="33"/>
      <c r="F60" s="34"/>
      <c r="G60" s="31"/>
      <c r="H60" s="31"/>
      <c r="I60" s="31"/>
      <c r="J60" s="32"/>
      <c r="K60" s="32"/>
      <c r="L60" s="33"/>
      <c r="M60" s="31"/>
      <c r="N60" s="32"/>
      <c r="O60" s="35"/>
      <c r="P60" s="35"/>
      <c r="Q60" s="36" t="str">
        <f aca="true">IF(B60="","",TODAY()-B60)</f>
        <v/>
      </c>
      <c r="R60" s="33"/>
    </row>
    <row r="61" customFormat="false" ht="15" hidden="false" customHeight="false" outlineLevel="0" collapsed="false">
      <c r="A61" s="25" t="str">
        <f aca="false">IF(C61="","","L"&amp;TEXT(ROW()-2,"0000"))</f>
        <v/>
      </c>
      <c r="B61" s="26"/>
      <c r="C61" s="27"/>
      <c r="D61" s="27"/>
      <c r="E61" s="27"/>
      <c r="F61" s="28"/>
      <c r="G61" s="25"/>
      <c r="H61" s="25"/>
      <c r="I61" s="25"/>
      <c r="J61" s="26"/>
      <c r="K61" s="26"/>
      <c r="L61" s="27"/>
      <c r="M61" s="25"/>
      <c r="N61" s="26"/>
      <c r="O61" s="29"/>
      <c r="P61" s="29"/>
      <c r="Q61" s="30" t="str">
        <f aca="true">IF(B61="","",TODAY()-B61)</f>
        <v/>
      </c>
      <c r="R61" s="27"/>
    </row>
    <row r="62" customFormat="false" ht="15" hidden="false" customHeight="false" outlineLevel="0" collapsed="false">
      <c r="A62" s="31" t="str">
        <f aca="false">IF(C62="","","L"&amp;TEXT(ROW()-2,"0000"))</f>
        <v/>
      </c>
      <c r="B62" s="32"/>
      <c r="C62" s="33"/>
      <c r="D62" s="33"/>
      <c r="E62" s="33"/>
      <c r="F62" s="34"/>
      <c r="G62" s="31"/>
      <c r="H62" s="31"/>
      <c r="I62" s="31"/>
      <c r="J62" s="32"/>
      <c r="K62" s="32"/>
      <c r="L62" s="33"/>
      <c r="M62" s="31"/>
      <c r="N62" s="32"/>
      <c r="O62" s="35"/>
      <c r="P62" s="35"/>
      <c r="Q62" s="36" t="str">
        <f aca="true">IF(B62="","",TODAY()-B62)</f>
        <v/>
      </c>
      <c r="R62" s="33"/>
    </row>
    <row r="63" customFormat="false" ht="15" hidden="false" customHeight="false" outlineLevel="0" collapsed="false">
      <c r="A63" s="25" t="str">
        <f aca="false">IF(C63="","","L"&amp;TEXT(ROW()-2,"0000"))</f>
        <v/>
      </c>
      <c r="B63" s="26"/>
      <c r="C63" s="27"/>
      <c r="D63" s="27"/>
      <c r="E63" s="27"/>
      <c r="F63" s="28"/>
      <c r="G63" s="25"/>
      <c r="H63" s="25"/>
      <c r="I63" s="25"/>
      <c r="J63" s="26"/>
      <c r="K63" s="26"/>
      <c r="L63" s="27"/>
      <c r="M63" s="25"/>
      <c r="N63" s="26"/>
      <c r="O63" s="29"/>
      <c r="P63" s="29"/>
      <c r="Q63" s="30" t="str">
        <f aca="true">IF(B63="","",TODAY()-B63)</f>
        <v/>
      </c>
      <c r="R63" s="27"/>
    </row>
    <row r="64" customFormat="false" ht="15" hidden="false" customHeight="false" outlineLevel="0" collapsed="false">
      <c r="A64" s="31" t="str">
        <f aca="false">IF(C64="","","L"&amp;TEXT(ROW()-2,"0000"))</f>
        <v/>
      </c>
      <c r="B64" s="32"/>
      <c r="C64" s="33"/>
      <c r="D64" s="33"/>
      <c r="E64" s="33"/>
      <c r="F64" s="34"/>
      <c r="G64" s="31"/>
      <c r="H64" s="31"/>
      <c r="I64" s="31"/>
      <c r="J64" s="32"/>
      <c r="K64" s="32"/>
      <c r="L64" s="33"/>
      <c r="M64" s="31"/>
      <c r="N64" s="32"/>
      <c r="O64" s="35"/>
      <c r="P64" s="35"/>
      <c r="Q64" s="36" t="str">
        <f aca="true">IF(B64="","",TODAY()-B64)</f>
        <v/>
      </c>
      <c r="R64" s="33"/>
    </row>
    <row r="65" customFormat="false" ht="15" hidden="false" customHeight="false" outlineLevel="0" collapsed="false">
      <c r="A65" s="25" t="str">
        <f aca="false">IF(C65="","","L"&amp;TEXT(ROW()-2,"0000"))</f>
        <v/>
      </c>
      <c r="B65" s="26"/>
      <c r="C65" s="27"/>
      <c r="D65" s="27"/>
      <c r="E65" s="27"/>
      <c r="F65" s="28"/>
      <c r="G65" s="25"/>
      <c r="H65" s="25"/>
      <c r="I65" s="25"/>
      <c r="J65" s="26"/>
      <c r="K65" s="26"/>
      <c r="L65" s="27"/>
      <c r="M65" s="25"/>
      <c r="N65" s="26"/>
      <c r="O65" s="29"/>
      <c r="P65" s="29"/>
      <c r="Q65" s="30" t="str">
        <f aca="true">IF(B65="","",TODAY()-B65)</f>
        <v/>
      </c>
      <c r="R65" s="27"/>
    </row>
    <row r="66" customFormat="false" ht="15" hidden="false" customHeight="false" outlineLevel="0" collapsed="false">
      <c r="A66" s="31" t="str">
        <f aca="false">IF(C66="","","L"&amp;TEXT(ROW()-2,"0000"))</f>
        <v/>
      </c>
      <c r="B66" s="32"/>
      <c r="C66" s="33"/>
      <c r="D66" s="33"/>
      <c r="E66" s="33"/>
      <c r="F66" s="34"/>
      <c r="G66" s="31"/>
      <c r="H66" s="31"/>
      <c r="I66" s="31"/>
      <c r="J66" s="32"/>
      <c r="K66" s="32"/>
      <c r="L66" s="33"/>
      <c r="M66" s="31"/>
      <c r="N66" s="32"/>
      <c r="O66" s="35"/>
      <c r="P66" s="35"/>
      <c r="Q66" s="36" t="str">
        <f aca="true">IF(B66="","",TODAY()-B66)</f>
        <v/>
      </c>
      <c r="R66" s="33"/>
    </row>
    <row r="67" customFormat="false" ht="15" hidden="false" customHeight="false" outlineLevel="0" collapsed="false">
      <c r="A67" s="25" t="str">
        <f aca="false">IF(C67="","","L"&amp;TEXT(ROW()-2,"0000"))</f>
        <v/>
      </c>
      <c r="B67" s="26"/>
      <c r="C67" s="27"/>
      <c r="D67" s="27"/>
      <c r="E67" s="27"/>
      <c r="F67" s="28"/>
      <c r="G67" s="25"/>
      <c r="H67" s="25"/>
      <c r="I67" s="25"/>
      <c r="J67" s="26"/>
      <c r="K67" s="26"/>
      <c r="L67" s="27"/>
      <c r="M67" s="25"/>
      <c r="N67" s="26"/>
      <c r="O67" s="29"/>
      <c r="P67" s="29"/>
      <c r="Q67" s="30" t="str">
        <f aca="true">IF(B67="","",TODAY()-B67)</f>
        <v/>
      </c>
      <c r="R67" s="27"/>
    </row>
    <row r="68" customFormat="false" ht="15" hidden="false" customHeight="false" outlineLevel="0" collapsed="false">
      <c r="A68" s="31" t="str">
        <f aca="false">IF(C68="","","L"&amp;TEXT(ROW()-2,"0000"))</f>
        <v/>
      </c>
      <c r="B68" s="32"/>
      <c r="C68" s="33"/>
      <c r="D68" s="33"/>
      <c r="E68" s="33"/>
      <c r="F68" s="34"/>
      <c r="G68" s="31"/>
      <c r="H68" s="31"/>
      <c r="I68" s="31"/>
      <c r="J68" s="32"/>
      <c r="K68" s="32"/>
      <c r="L68" s="33"/>
      <c r="M68" s="31"/>
      <c r="N68" s="32"/>
      <c r="O68" s="35"/>
      <c r="P68" s="35"/>
      <c r="Q68" s="36" t="str">
        <f aca="true">IF(B68="","",TODAY()-B68)</f>
        <v/>
      </c>
      <c r="R68" s="33"/>
    </row>
    <row r="69" customFormat="false" ht="15" hidden="false" customHeight="false" outlineLevel="0" collapsed="false">
      <c r="A69" s="25" t="str">
        <f aca="false">IF(C69="","","L"&amp;TEXT(ROW()-2,"0000"))</f>
        <v/>
      </c>
      <c r="B69" s="26"/>
      <c r="C69" s="27"/>
      <c r="D69" s="27"/>
      <c r="E69" s="27"/>
      <c r="F69" s="28"/>
      <c r="G69" s="25"/>
      <c r="H69" s="25"/>
      <c r="I69" s="25"/>
      <c r="J69" s="26"/>
      <c r="K69" s="26"/>
      <c r="L69" s="27"/>
      <c r="M69" s="25"/>
      <c r="N69" s="26"/>
      <c r="O69" s="29"/>
      <c r="P69" s="29"/>
      <c r="Q69" s="30" t="str">
        <f aca="true">IF(B69="","",TODAY()-B69)</f>
        <v/>
      </c>
      <c r="R69" s="27"/>
    </row>
    <row r="70" customFormat="false" ht="15" hidden="false" customHeight="false" outlineLevel="0" collapsed="false">
      <c r="A70" s="31" t="str">
        <f aca="false">IF(C70="","","L"&amp;TEXT(ROW()-2,"0000"))</f>
        <v/>
      </c>
      <c r="B70" s="32"/>
      <c r="C70" s="33"/>
      <c r="D70" s="33"/>
      <c r="E70" s="33"/>
      <c r="F70" s="34"/>
      <c r="G70" s="31"/>
      <c r="H70" s="31"/>
      <c r="I70" s="31"/>
      <c r="J70" s="32"/>
      <c r="K70" s="32"/>
      <c r="L70" s="33"/>
      <c r="M70" s="31"/>
      <c r="N70" s="32"/>
      <c r="O70" s="35"/>
      <c r="P70" s="35"/>
      <c r="Q70" s="36" t="str">
        <f aca="true">IF(B70="","",TODAY()-B70)</f>
        <v/>
      </c>
      <c r="R70" s="33"/>
    </row>
    <row r="71" customFormat="false" ht="15" hidden="false" customHeight="false" outlineLevel="0" collapsed="false">
      <c r="A71" s="25" t="str">
        <f aca="false">IF(C71="","","L"&amp;TEXT(ROW()-2,"0000"))</f>
        <v/>
      </c>
      <c r="B71" s="26"/>
      <c r="C71" s="27"/>
      <c r="D71" s="27"/>
      <c r="E71" s="27"/>
      <c r="F71" s="28"/>
      <c r="G71" s="25"/>
      <c r="H71" s="25"/>
      <c r="I71" s="25"/>
      <c r="J71" s="26"/>
      <c r="K71" s="26"/>
      <c r="L71" s="27"/>
      <c r="M71" s="25"/>
      <c r="N71" s="26"/>
      <c r="O71" s="29"/>
      <c r="P71" s="29"/>
      <c r="Q71" s="30" t="str">
        <f aca="true">IF(B71="","",TODAY()-B71)</f>
        <v/>
      </c>
      <c r="R71" s="27"/>
    </row>
    <row r="72" customFormat="false" ht="15" hidden="false" customHeight="false" outlineLevel="0" collapsed="false">
      <c r="A72" s="31" t="str">
        <f aca="false">IF(C72="","","L"&amp;TEXT(ROW()-2,"0000"))</f>
        <v/>
      </c>
      <c r="B72" s="32"/>
      <c r="C72" s="33"/>
      <c r="D72" s="33"/>
      <c r="E72" s="33"/>
      <c r="F72" s="34"/>
      <c r="G72" s="31"/>
      <c r="H72" s="31"/>
      <c r="I72" s="31"/>
      <c r="J72" s="32"/>
      <c r="K72" s="32"/>
      <c r="L72" s="33"/>
      <c r="M72" s="31"/>
      <c r="N72" s="32"/>
      <c r="O72" s="35"/>
      <c r="P72" s="35"/>
      <c r="Q72" s="36" t="str">
        <f aca="true">IF(B72="","",TODAY()-B72)</f>
        <v/>
      </c>
      <c r="R72" s="33"/>
    </row>
    <row r="73" customFormat="false" ht="15" hidden="false" customHeight="false" outlineLevel="0" collapsed="false">
      <c r="A73" s="25" t="str">
        <f aca="false">IF(C73="","","L"&amp;TEXT(ROW()-2,"0000"))</f>
        <v/>
      </c>
      <c r="B73" s="26"/>
      <c r="C73" s="27"/>
      <c r="D73" s="27"/>
      <c r="E73" s="27"/>
      <c r="F73" s="28"/>
      <c r="G73" s="25"/>
      <c r="H73" s="25"/>
      <c r="I73" s="25"/>
      <c r="J73" s="26"/>
      <c r="K73" s="26"/>
      <c r="L73" s="27"/>
      <c r="M73" s="25"/>
      <c r="N73" s="26"/>
      <c r="O73" s="29"/>
      <c r="P73" s="29"/>
      <c r="Q73" s="30" t="str">
        <f aca="true">IF(B73="","",TODAY()-B73)</f>
        <v/>
      </c>
      <c r="R73" s="27"/>
    </row>
    <row r="74" customFormat="false" ht="15" hidden="false" customHeight="false" outlineLevel="0" collapsed="false">
      <c r="A74" s="31" t="str">
        <f aca="false">IF(C74="","","L"&amp;TEXT(ROW()-2,"0000"))</f>
        <v/>
      </c>
      <c r="B74" s="32"/>
      <c r="C74" s="33"/>
      <c r="D74" s="33"/>
      <c r="E74" s="33"/>
      <c r="F74" s="34"/>
      <c r="G74" s="31"/>
      <c r="H74" s="31"/>
      <c r="I74" s="31"/>
      <c r="J74" s="32"/>
      <c r="K74" s="32"/>
      <c r="L74" s="33"/>
      <c r="M74" s="31"/>
      <c r="N74" s="32"/>
      <c r="O74" s="35"/>
      <c r="P74" s="35"/>
      <c r="Q74" s="36" t="str">
        <f aca="true">IF(B74="","",TODAY()-B74)</f>
        <v/>
      </c>
      <c r="R74" s="33"/>
    </row>
    <row r="75" customFormat="false" ht="15" hidden="false" customHeight="false" outlineLevel="0" collapsed="false">
      <c r="A75" s="25" t="str">
        <f aca="false">IF(C75="","","L"&amp;TEXT(ROW()-2,"0000"))</f>
        <v/>
      </c>
      <c r="B75" s="26"/>
      <c r="C75" s="27"/>
      <c r="D75" s="27"/>
      <c r="E75" s="27"/>
      <c r="F75" s="28"/>
      <c r="G75" s="25"/>
      <c r="H75" s="25"/>
      <c r="I75" s="25"/>
      <c r="J75" s="26"/>
      <c r="K75" s="26"/>
      <c r="L75" s="27"/>
      <c r="M75" s="25"/>
      <c r="N75" s="26"/>
      <c r="O75" s="29"/>
      <c r="P75" s="29"/>
      <c r="Q75" s="30" t="str">
        <f aca="true">IF(B75="","",TODAY()-B75)</f>
        <v/>
      </c>
      <c r="R75" s="27"/>
    </row>
    <row r="76" customFormat="false" ht="15" hidden="false" customHeight="false" outlineLevel="0" collapsed="false">
      <c r="A76" s="31" t="str">
        <f aca="false">IF(C76="","","L"&amp;TEXT(ROW()-2,"0000"))</f>
        <v/>
      </c>
      <c r="B76" s="32"/>
      <c r="C76" s="33"/>
      <c r="D76" s="33"/>
      <c r="E76" s="33"/>
      <c r="F76" s="34"/>
      <c r="G76" s="31"/>
      <c r="H76" s="31"/>
      <c r="I76" s="31"/>
      <c r="J76" s="32"/>
      <c r="K76" s="32"/>
      <c r="L76" s="33"/>
      <c r="M76" s="31"/>
      <c r="N76" s="32"/>
      <c r="O76" s="35"/>
      <c r="P76" s="35"/>
      <c r="Q76" s="36" t="str">
        <f aca="true">IF(B76="","",TODAY()-B76)</f>
        <v/>
      </c>
      <c r="R76" s="33"/>
    </row>
    <row r="77" customFormat="false" ht="15" hidden="false" customHeight="false" outlineLevel="0" collapsed="false">
      <c r="A77" s="25" t="str">
        <f aca="false">IF(C77="","","L"&amp;TEXT(ROW()-2,"0000"))</f>
        <v/>
      </c>
      <c r="B77" s="26"/>
      <c r="C77" s="27"/>
      <c r="D77" s="27"/>
      <c r="E77" s="27"/>
      <c r="F77" s="28"/>
      <c r="G77" s="25"/>
      <c r="H77" s="25"/>
      <c r="I77" s="25"/>
      <c r="J77" s="26"/>
      <c r="K77" s="26"/>
      <c r="L77" s="27"/>
      <c r="M77" s="25"/>
      <c r="N77" s="26"/>
      <c r="O77" s="29"/>
      <c r="P77" s="29"/>
      <c r="Q77" s="30" t="str">
        <f aca="true">IF(B77="","",TODAY()-B77)</f>
        <v/>
      </c>
      <c r="R77" s="27"/>
    </row>
    <row r="78" customFormat="false" ht="15" hidden="false" customHeight="false" outlineLevel="0" collapsed="false">
      <c r="A78" s="31" t="str">
        <f aca="false">IF(C78="","","L"&amp;TEXT(ROW()-2,"0000"))</f>
        <v/>
      </c>
      <c r="B78" s="32"/>
      <c r="C78" s="33"/>
      <c r="D78" s="33"/>
      <c r="E78" s="33"/>
      <c r="F78" s="34"/>
      <c r="G78" s="31"/>
      <c r="H78" s="31"/>
      <c r="I78" s="31"/>
      <c r="J78" s="32"/>
      <c r="K78" s="32"/>
      <c r="L78" s="33"/>
      <c r="M78" s="31"/>
      <c r="N78" s="32"/>
      <c r="O78" s="35"/>
      <c r="P78" s="35"/>
      <c r="Q78" s="36" t="str">
        <f aca="true">IF(B78="","",TODAY()-B78)</f>
        <v/>
      </c>
      <c r="R78" s="33"/>
    </row>
    <row r="79" customFormat="false" ht="15" hidden="false" customHeight="false" outlineLevel="0" collapsed="false">
      <c r="A79" s="25" t="str">
        <f aca="false">IF(C79="","","L"&amp;TEXT(ROW()-2,"0000"))</f>
        <v/>
      </c>
      <c r="B79" s="26"/>
      <c r="C79" s="27"/>
      <c r="D79" s="27"/>
      <c r="E79" s="27"/>
      <c r="F79" s="28"/>
      <c r="G79" s="25"/>
      <c r="H79" s="25"/>
      <c r="I79" s="25"/>
      <c r="J79" s="26"/>
      <c r="K79" s="26"/>
      <c r="L79" s="27"/>
      <c r="M79" s="25"/>
      <c r="N79" s="26"/>
      <c r="O79" s="29"/>
      <c r="P79" s="29"/>
      <c r="Q79" s="30" t="str">
        <f aca="true">IF(B79="","",TODAY()-B79)</f>
        <v/>
      </c>
      <c r="R79" s="27"/>
    </row>
    <row r="80" customFormat="false" ht="15" hidden="false" customHeight="false" outlineLevel="0" collapsed="false">
      <c r="A80" s="31" t="str">
        <f aca="false">IF(C80="","","L"&amp;TEXT(ROW()-2,"0000"))</f>
        <v/>
      </c>
      <c r="B80" s="32"/>
      <c r="C80" s="33"/>
      <c r="D80" s="33"/>
      <c r="E80" s="33"/>
      <c r="F80" s="34"/>
      <c r="G80" s="31"/>
      <c r="H80" s="31"/>
      <c r="I80" s="31"/>
      <c r="J80" s="32"/>
      <c r="K80" s="32"/>
      <c r="L80" s="33"/>
      <c r="M80" s="31"/>
      <c r="N80" s="32"/>
      <c r="O80" s="35"/>
      <c r="P80" s="35"/>
      <c r="Q80" s="36" t="str">
        <f aca="true">IF(B80="","",TODAY()-B80)</f>
        <v/>
      </c>
      <c r="R80" s="33"/>
    </row>
    <row r="81" customFormat="false" ht="15" hidden="false" customHeight="false" outlineLevel="0" collapsed="false">
      <c r="A81" s="25" t="str">
        <f aca="false">IF(C81="","","L"&amp;TEXT(ROW()-2,"0000"))</f>
        <v/>
      </c>
      <c r="B81" s="26"/>
      <c r="C81" s="27"/>
      <c r="D81" s="27"/>
      <c r="E81" s="27"/>
      <c r="F81" s="28"/>
      <c r="G81" s="25"/>
      <c r="H81" s="25"/>
      <c r="I81" s="25"/>
      <c r="J81" s="26"/>
      <c r="K81" s="26"/>
      <c r="L81" s="27"/>
      <c r="M81" s="25"/>
      <c r="N81" s="26"/>
      <c r="O81" s="29"/>
      <c r="P81" s="29"/>
      <c r="Q81" s="30" t="str">
        <f aca="true">IF(B81="","",TODAY()-B81)</f>
        <v/>
      </c>
      <c r="R81" s="27"/>
    </row>
    <row r="82" customFormat="false" ht="15" hidden="false" customHeight="false" outlineLevel="0" collapsed="false">
      <c r="A82" s="31" t="str">
        <f aca="false">IF(C82="","","L"&amp;TEXT(ROW()-2,"0000"))</f>
        <v/>
      </c>
      <c r="B82" s="32"/>
      <c r="C82" s="33"/>
      <c r="D82" s="33"/>
      <c r="E82" s="33"/>
      <c r="F82" s="34"/>
      <c r="G82" s="31"/>
      <c r="H82" s="31"/>
      <c r="I82" s="31"/>
      <c r="J82" s="32"/>
      <c r="K82" s="32"/>
      <c r="L82" s="33"/>
      <c r="M82" s="31"/>
      <c r="N82" s="32"/>
      <c r="O82" s="35"/>
      <c r="P82" s="35"/>
      <c r="Q82" s="36" t="str">
        <f aca="true">IF(B82="","",TODAY()-B82)</f>
        <v/>
      </c>
      <c r="R82" s="33"/>
    </row>
    <row r="83" customFormat="false" ht="15" hidden="false" customHeight="false" outlineLevel="0" collapsed="false">
      <c r="A83" s="25" t="str">
        <f aca="false">IF(C83="","","L"&amp;TEXT(ROW()-2,"0000"))</f>
        <v/>
      </c>
      <c r="B83" s="26"/>
      <c r="C83" s="27"/>
      <c r="D83" s="27"/>
      <c r="E83" s="27"/>
      <c r="F83" s="28"/>
      <c r="G83" s="25"/>
      <c r="H83" s="25"/>
      <c r="I83" s="25"/>
      <c r="J83" s="26"/>
      <c r="K83" s="26"/>
      <c r="L83" s="27"/>
      <c r="M83" s="25"/>
      <c r="N83" s="26"/>
      <c r="O83" s="29"/>
      <c r="P83" s="29"/>
      <c r="Q83" s="30" t="str">
        <f aca="true">IF(B83="","",TODAY()-B83)</f>
        <v/>
      </c>
      <c r="R83" s="27"/>
    </row>
    <row r="84" customFormat="false" ht="15" hidden="false" customHeight="false" outlineLevel="0" collapsed="false">
      <c r="A84" s="31" t="str">
        <f aca="false">IF(C84="","","L"&amp;TEXT(ROW()-2,"0000"))</f>
        <v/>
      </c>
      <c r="B84" s="32"/>
      <c r="C84" s="33"/>
      <c r="D84" s="33"/>
      <c r="E84" s="33"/>
      <c r="F84" s="34"/>
      <c r="G84" s="31"/>
      <c r="H84" s="31"/>
      <c r="I84" s="31"/>
      <c r="J84" s="32"/>
      <c r="K84" s="32"/>
      <c r="L84" s="33"/>
      <c r="M84" s="31"/>
      <c r="N84" s="32"/>
      <c r="O84" s="35"/>
      <c r="P84" s="35"/>
      <c r="Q84" s="36" t="str">
        <f aca="true">IF(B84="","",TODAY()-B84)</f>
        <v/>
      </c>
      <c r="R84" s="33"/>
    </row>
    <row r="85" customFormat="false" ht="15" hidden="false" customHeight="false" outlineLevel="0" collapsed="false">
      <c r="A85" s="25" t="str">
        <f aca="false">IF(C85="","","L"&amp;TEXT(ROW()-2,"0000"))</f>
        <v/>
      </c>
      <c r="B85" s="26"/>
      <c r="C85" s="27"/>
      <c r="D85" s="27"/>
      <c r="E85" s="27"/>
      <c r="F85" s="28"/>
      <c r="G85" s="25"/>
      <c r="H85" s="25"/>
      <c r="I85" s="25"/>
      <c r="J85" s="26"/>
      <c r="K85" s="26"/>
      <c r="L85" s="27"/>
      <c r="M85" s="25"/>
      <c r="N85" s="26"/>
      <c r="O85" s="29"/>
      <c r="P85" s="29"/>
      <c r="Q85" s="30" t="str">
        <f aca="true">IF(B85="","",TODAY()-B85)</f>
        <v/>
      </c>
      <c r="R85" s="27"/>
    </row>
    <row r="86" customFormat="false" ht="15" hidden="false" customHeight="false" outlineLevel="0" collapsed="false">
      <c r="A86" s="31" t="str">
        <f aca="false">IF(C86="","","L"&amp;TEXT(ROW()-2,"0000"))</f>
        <v/>
      </c>
      <c r="B86" s="32"/>
      <c r="C86" s="33"/>
      <c r="D86" s="33"/>
      <c r="E86" s="33"/>
      <c r="F86" s="34"/>
      <c r="G86" s="31"/>
      <c r="H86" s="31"/>
      <c r="I86" s="31"/>
      <c r="J86" s="32"/>
      <c r="K86" s="32"/>
      <c r="L86" s="33"/>
      <c r="M86" s="31"/>
      <c r="N86" s="32"/>
      <c r="O86" s="35"/>
      <c r="P86" s="35"/>
      <c r="Q86" s="36" t="str">
        <f aca="true">IF(B86="","",TODAY()-B86)</f>
        <v/>
      </c>
      <c r="R86" s="33"/>
    </row>
    <row r="87" customFormat="false" ht="15" hidden="false" customHeight="false" outlineLevel="0" collapsed="false">
      <c r="A87" s="25" t="str">
        <f aca="false">IF(C87="","","L"&amp;TEXT(ROW()-2,"0000"))</f>
        <v/>
      </c>
      <c r="B87" s="26"/>
      <c r="C87" s="27"/>
      <c r="D87" s="27"/>
      <c r="E87" s="27"/>
      <c r="F87" s="28"/>
      <c r="G87" s="25"/>
      <c r="H87" s="25"/>
      <c r="I87" s="25"/>
      <c r="J87" s="26"/>
      <c r="K87" s="26"/>
      <c r="L87" s="27"/>
      <c r="M87" s="25"/>
      <c r="N87" s="26"/>
      <c r="O87" s="29"/>
      <c r="P87" s="29"/>
      <c r="Q87" s="30" t="str">
        <f aca="true">IF(B87="","",TODAY()-B87)</f>
        <v/>
      </c>
      <c r="R87" s="27"/>
    </row>
    <row r="88" customFormat="false" ht="15" hidden="false" customHeight="false" outlineLevel="0" collapsed="false">
      <c r="A88" s="31" t="str">
        <f aca="false">IF(C88="","","L"&amp;TEXT(ROW()-2,"0000"))</f>
        <v/>
      </c>
      <c r="B88" s="32"/>
      <c r="C88" s="33"/>
      <c r="D88" s="33"/>
      <c r="E88" s="33"/>
      <c r="F88" s="34"/>
      <c r="G88" s="31"/>
      <c r="H88" s="31"/>
      <c r="I88" s="31"/>
      <c r="J88" s="32"/>
      <c r="K88" s="32"/>
      <c r="L88" s="33"/>
      <c r="M88" s="31"/>
      <c r="N88" s="32"/>
      <c r="O88" s="35"/>
      <c r="P88" s="35"/>
      <c r="Q88" s="36" t="str">
        <f aca="true">IF(B88="","",TODAY()-B88)</f>
        <v/>
      </c>
      <c r="R88" s="33"/>
    </row>
    <row r="89" customFormat="false" ht="15" hidden="false" customHeight="false" outlineLevel="0" collapsed="false">
      <c r="A89" s="25" t="str">
        <f aca="false">IF(C89="","","L"&amp;TEXT(ROW()-2,"0000"))</f>
        <v/>
      </c>
      <c r="B89" s="26"/>
      <c r="C89" s="27"/>
      <c r="D89" s="27"/>
      <c r="E89" s="27"/>
      <c r="F89" s="28"/>
      <c r="G89" s="25"/>
      <c r="H89" s="25"/>
      <c r="I89" s="25"/>
      <c r="J89" s="26"/>
      <c r="K89" s="26"/>
      <c r="L89" s="27"/>
      <c r="M89" s="25"/>
      <c r="N89" s="26"/>
      <c r="O89" s="29"/>
      <c r="P89" s="29"/>
      <c r="Q89" s="30" t="str">
        <f aca="true">IF(B89="","",TODAY()-B89)</f>
        <v/>
      </c>
      <c r="R89" s="27"/>
    </row>
    <row r="90" customFormat="false" ht="15" hidden="false" customHeight="false" outlineLevel="0" collapsed="false">
      <c r="A90" s="31" t="str">
        <f aca="false">IF(C90="","","L"&amp;TEXT(ROW()-2,"0000"))</f>
        <v/>
      </c>
      <c r="B90" s="32"/>
      <c r="C90" s="33"/>
      <c r="D90" s="33"/>
      <c r="E90" s="33"/>
      <c r="F90" s="34"/>
      <c r="G90" s="31"/>
      <c r="H90" s="31"/>
      <c r="I90" s="31"/>
      <c r="J90" s="32"/>
      <c r="K90" s="32"/>
      <c r="L90" s="33"/>
      <c r="M90" s="31"/>
      <c r="N90" s="32"/>
      <c r="O90" s="35"/>
      <c r="P90" s="35"/>
      <c r="Q90" s="36" t="str">
        <f aca="true">IF(B90="","",TODAY()-B90)</f>
        <v/>
      </c>
      <c r="R90" s="33"/>
    </row>
    <row r="91" customFormat="false" ht="15" hidden="false" customHeight="false" outlineLevel="0" collapsed="false">
      <c r="A91" s="25" t="str">
        <f aca="false">IF(C91="","","L"&amp;TEXT(ROW()-2,"0000"))</f>
        <v/>
      </c>
      <c r="B91" s="26"/>
      <c r="C91" s="27"/>
      <c r="D91" s="27"/>
      <c r="E91" s="27"/>
      <c r="F91" s="28"/>
      <c r="G91" s="25"/>
      <c r="H91" s="25"/>
      <c r="I91" s="25"/>
      <c r="J91" s="26"/>
      <c r="K91" s="26"/>
      <c r="L91" s="27"/>
      <c r="M91" s="25"/>
      <c r="N91" s="26"/>
      <c r="O91" s="29"/>
      <c r="P91" s="29"/>
      <c r="Q91" s="30" t="str">
        <f aca="true">IF(B91="","",TODAY()-B91)</f>
        <v/>
      </c>
      <c r="R91" s="27"/>
    </row>
    <row r="92" customFormat="false" ht="15" hidden="false" customHeight="false" outlineLevel="0" collapsed="false">
      <c r="A92" s="31" t="str">
        <f aca="false">IF(C92="","","L"&amp;TEXT(ROW()-2,"0000"))</f>
        <v/>
      </c>
      <c r="B92" s="32"/>
      <c r="C92" s="33"/>
      <c r="D92" s="33"/>
      <c r="E92" s="33"/>
      <c r="F92" s="34"/>
      <c r="G92" s="31"/>
      <c r="H92" s="31"/>
      <c r="I92" s="31"/>
      <c r="J92" s="32"/>
      <c r="K92" s="32"/>
      <c r="L92" s="33"/>
      <c r="M92" s="31"/>
      <c r="N92" s="32"/>
      <c r="O92" s="35"/>
      <c r="P92" s="35"/>
      <c r="Q92" s="36" t="str">
        <f aca="true">IF(B92="","",TODAY()-B92)</f>
        <v/>
      </c>
      <c r="R92" s="33"/>
    </row>
    <row r="93" customFormat="false" ht="15" hidden="false" customHeight="false" outlineLevel="0" collapsed="false">
      <c r="A93" s="25" t="str">
        <f aca="false">IF(C93="","","L"&amp;TEXT(ROW()-2,"0000"))</f>
        <v/>
      </c>
      <c r="B93" s="26"/>
      <c r="C93" s="27"/>
      <c r="D93" s="27"/>
      <c r="E93" s="27"/>
      <c r="F93" s="28"/>
      <c r="G93" s="25"/>
      <c r="H93" s="25"/>
      <c r="I93" s="25"/>
      <c r="J93" s="26"/>
      <c r="K93" s="26"/>
      <c r="L93" s="27"/>
      <c r="M93" s="25"/>
      <c r="N93" s="26"/>
      <c r="O93" s="29"/>
      <c r="P93" s="29"/>
      <c r="Q93" s="30" t="str">
        <f aca="true">IF(B93="","",TODAY()-B93)</f>
        <v/>
      </c>
      <c r="R93" s="27"/>
    </row>
    <row r="94" customFormat="false" ht="15" hidden="false" customHeight="false" outlineLevel="0" collapsed="false">
      <c r="A94" s="31" t="str">
        <f aca="false">IF(C94="","","L"&amp;TEXT(ROW()-2,"0000"))</f>
        <v/>
      </c>
      <c r="B94" s="32"/>
      <c r="C94" s="33"/>
      <c r="D94" s="33"/>
      <c r="E94" s="33"/>
      <c r="F94" s="34"/>
      <c r="G94" s="31"/>
      <c r="H94" s="31"/>
      <c r="I94" s="31"/>
      <c r="J94" s="32"/>
      <c r="K94" s="32"/>
      <c r="L94" s="33"/>
      <c r="M94" s="31"/>
      <c r="N94" s="32"/>
      <c r="O94" s="35"/>
      <c r="P94" s="35"/>
      <c r="Q94" s="36" t="str">
        <f aca="true">IF(B94="","",TODAY()-B94)</f>
        <v/>
      </c>
      <c r="R94" s="33"/>
    </row>
    <row r="95" customFormat="false" ht="15" hidden="false" customHeight="false" outlineLevel="0" collapsed="false">
      <c r="A95" s="25" t="str">
        <f aca="false">IF(C95="","","L"&amp;TEXT(ROW()-2,"0000"))</f>
        <v/>
      </c>
      <c r="B95" s="26"/>
      <c r="C95" s="27"/>
      <c r="D95" s="27"/>
      <c r="E95" s="27"/>
      <c r="F95" s="28"/>
      <c r="G95" s="25"/>
      <c r="H95" s="25"/>
      <c r="I95" s="25"/>
      <c r="J95" s="26"/>
      <c r="K95" s="26"/>
      <c r="L95" s="27"/>
      <c r="M95" s="25"/>
      <c r="N95" s="26"/>
      <c r="O95" s="29"/>
      <c r="P95" s="29"/>
      <c r="Q95" s="30" t="str">
        <f aca="true">IF(B95="","",TODAY()-B95)</f>
        <v/>
      </c>
      <c r="R95" s="27"/>
    </row>
    <row r="96" customFormat="false" ht="15" hidden="false" customHeight="false" outlineLevel="0" collapsed="false">
      <c r="A96" s="31" t="str">
        <f aca="false">IF(C96="","","L"&amp;TEXT(ROW()-2,"0000"))</f>
        <v/>
      </c>
      <c r="B96" s="32"/>
      <c r="C96" s="33"/>
      <c r="D96" s="33"/>
      <c r="E96" s="33"/>
      <c r="F96" s="34"/>
      <c r="G96" s="31"/>
      <c r="H96" s="31"/>
      <c r="I96" s="31"/>
      <c r="J96" s="32"/>
      <c r="K96" s="32"/>
      <c r="L96" s="33"/>
      <c r="M96" s="31"/>
      <c r="N96" s="32"/>
      <c r="O96" s="35"/>
      <c r="P96" s="35"/>
      <c r="Q96" s="36" t="str">
        <f aca="true">IF(B96="","",TODAY()-B96)</f>
        <v/>
      </c>
      <c r="R96" s="33"/>
    </row>
    <row r="97" customFormat="false" ht="15" hidden="false" customHeight="false" outlineLevel="0" collapsed="false">
      <c r="A97" s="25" t="str">
        <f aca="false">IF(C97="","","L"&amp;TEXT(ROW()-2,"0000"))</f>
        <v/>
      </c>
      <c r="B97" s="26"/>
      <c r="C97" s="27"/>
      <c r="D97" s="27"/>
      <c r="E97" s="27"/>
      <c r="F97" s="28"/>
      <c r="G97" s="25"/>
      <c r="H97" s="25"/>
      <c r="I97" s="25"/>
      <c r="J97" s="26"/>
      <c r="K97" s="26"/>
      <c r="L97" s="27"/>
      <c r="M97" s="25"/>
      <c r="N97" s="26"/>
      <c r="O97" s="29"/>
      <c r="P97" s="29"/>
      <c r="Q97" s="30" t="str">
        <f aca="true">IF(B97="","",TODAY()-B97)</f>
        <v/>
      </c>
      <c r="R97" s="27"/>
    </row>
    <row r="98" customFormat="false" ht="15" hidden="false" customHeight="false" outlineLevel="0" collapsed="false">
      <c r="A98" s="31" t="str">
        <f aca="false">IF(C98="","","L"&amp;TEXT(ROW()-2,"0000"))</f>
        <v/>
      </c>
      <c r="B98" s="32"/>
      <c r="C98" s="33"/>
      <c r="D98" s="33"/>
      <c r="E98" s="33"/>
      <c r="F98" s="34"/>
      <c r="G98" s="31"/>
      <c r="H98" s="31"/>
      <c r="I98" s="31"/>
      <c r="J98" s="32"/>
      <c r="K98" s="32"/>
      <c r="L98" s="33"/>
      <c r="M98" s="31"/>
      <c r="N98" s="32"/>
      <c r="O98" s="35"/>
      <c r="P98" s="35"/>
      <c r="Q98" s="36" t="str">
        <f aca="true">IF(B98="","",TODAY()-B98)</f>
        <v/>
      </c>
      <c r="R98" s="33"/>
    </row>
    <row r="99" customFormat="false" ht="15" hidden="false" customHeight="false" outlineLevel="0" collapsed="false">
      <c r="A99" s="25" t="str">
        <f aca="false">IF(C99="","","L"&amp;TEXT(ROW()-2,"0000"))</f>
        <v/>
      </c>
      <c r="B99" s="26"/>
      <c r="C99" s="27"/>
      <c r="D99" s="27"/>
      <c r="E99" s="27"/>
      <c r="F99" s="28"/>
      <c r="G99" s="25"/>
      <c r="H99" s="25"/>
      <c r="I99" s="25"/>
      <c r="J99" s="26"/>
      <c r="K99" s="26"/>
      <c r="L99" s="27"/>
      <c r="M99" s="25"/>
      <c r="N99" s="26"/>
      <c r="O99" s="29"/>
      <c r="P99" s="29"/>
      <c r="Q99" s="30" t="str">
        <f aca="true">IF(B99="","",TODAY()-B99)</f>
        <v/>
      </c>
      <c r="R99" s="27"/>
    </row>
    <row r="100" customFormat="false" ht="15" hidden="false" customHeight="false" outlineLevel="0" collapsed="false">
      <c r="A100" s="31" t="str">
        <f aca="false">IF(C100="","","L"&amp;TEXT(ROW()-2,"0000"))</f>
        <v/>
      </c>
      <c r="B100" s="32"/>
      <c r="C100" s="33"/>
      <c r="D100" s="33"/>
      <c r="E100" s="33"/>
      <c r="F100" s="34"/>
      <c r="G100" s="31"/>
      <c r="H100" s="31"/>
      <c r="I100" s="31"/>
      <c r="J100" s="32"/>
      <c r="K100" s="32"/>
      <c r="L100" s="33"/>
      <c r="M100" s="31"/>
      <c r="N100" s="32"/>
      <c r="O100" s="35"/>
      <c r="P100" s="35"/>
      <c r="Q100" s="36" t="str">
        <f aca="true">IF(B100="","",TODAY()-B100)</f>
        <v/>
      </c>
      <c r="R100" s="33"/>
    </row>
    <row r="101" customFormat="false" ht="15" hidden="false" customHeight="false" outlineLevel="0" collapsed="false">
      <c r="A101" s="25" t="str">
        <f aca="false">IF(C101="","","L"&amp;TEXT(ROW()-2,"0000"))</f>
        <v/>
      </c>
      <c r="B101" s="26"/>
      <c r="C101" s="27"/>
      <c r="D101" s="27"/>
      <c r="E101" s="27"/>
      <c r="F101" s="28"/>
      <c r="G101" s="25"/>
      <c r="H101" s="25"/>
      <c r="I101" s="25"/>
      <c r="J101" s="26"/>
      <c r="K101" s="26"/>
      <c r="L101" s="27"/>
      <c r="M101" s="25"/>
      <c r="N101" s="26"/>
      <c r="O101" s="29"/>
      <c r="P101" s="29"/>
      <c r="Q101" s="30" t="str">
        <f aca="true">IF(B101="","",TODAY()-B101)</f>
        <v/>
      </c>
      <c r="R101" s="27"/>
    </row>
    <row r="102" customFormat="false" ht="15" hidden="false" customHeight="false" outlineLevel="0" collapsed="false">
      <c r="A102" s="31" t="str">
        <f aca="false">IF(C102="","","L"&amp;TEXT(ROW()-2,"0000"))</f>
        <v/>
      </c>
      <c r="B102" s="32"/>
      <c r="C102" s="33"/>
      <c r="D102" s="33"/>
      <c r="E102" s="33"/>
      <c r="F102" s="34"/>
      <c r="G102" s="31"/>
      <c r="H102" s="31"/>
      <c r="I102" s="31"/>
      <c r="J102" s="32"/>
      <c r="K102" s="32"/>
      <c r="L102" s="33"/>
      <c r="M102" s="31"/>
      <c r="N102" s="32"/>
      <c r="O102" s="35"/>
      <c r="P102" s="35"/>
      <c r="Q102" s="36" t="str">
        <f aca="true">IF(B102="","",TODAY()-B102)</f>
        <v/>
      </c>
      <c r="R102" s="33"/>
    </row>
    <row r="103" customFormat="false" ht="15" hidden="false" customHeight="false" outlineLevel="0" collapsed="false">
      <c r="A103" s="25" t="str">
        <f aca="false">IF(C103="","","L"&amp;TEXT(ROW()-2,"0000"))</f>
        <v/>
      </c>
      <c r="B103" s="26"/>
      <c r="C103" s="27"/>
      <c r="D103" s="27"/>
      <c r="E103" s="27"/>
      <c r="F103" s="28"/>
      <c r="G103" s="25"/>
      <c r="H103" s="25"/>
      <c r="I103" s="25"/>
      <c r="J103" s="26"/>
      <c r="K103" s="26"/>
      <c r="L103" s="27"/>
      <c r="M103" s="25"/>
      <c r="N103" s="26"/>
      <c r="O103" s="29"/>
      <c r="P103" s="29"/>
      <c r="Q103" s="30" t="str">
        <f aca="true">IF(B103="","",TODAY()-B103)</f>
        <v/>
      </c>
      <c r="R103" s="27"/>
    </row>
    <row r="104" customFormat="false" ht="15" hidden="false" customHeight="false" outlineLevel="0" collapsed="false">
      <c r="A104" s="31" t="str">
        <f aca="false">IF(C104="","","L"&amp;TEXT(ROW()-2,"0000"))</f>
        <v/>
      </c>
      <c r="B104" s="32"/>
      <c r="C104" s="33"/>
      <c r="D104" s="33"/>
      <c r="E104" s="33"/>
      <c r="F104" s="34"/>
      <c r="G104" s="31"/>
      <c r="H104" s="31"/>
      <c r="I104" s="31"/>
      <c r="J104" s="32"/>
      <c r="K104" s="32"/>
      <c r="L104" s="33"/>
      <c r="M104" s="31"/>
      <c r="N104" s="32"/>
      <c r="O104" s="35"/>
      <c r="P104" s="35"/>
      <c r="Q104" s="36" t="str">
        <f aca="true">IF(B104="","",TODAY()-B104)</f>
        <v/>
      </c>
      <c r="R104" s="33"/>
    </row>
    <row r="105" customFormat="false" ht="15" hidden="false" customHeight="false" outlineLevel="0" collapsed="false">
      <c r="A105" s="25" t="str">
        <f aca="false">IF(C105="","","L"&amp;TEXT(ROW()-2,"0000"))</f>
        <v/>
      </c>
      <c r="B105" s="26"/>
      <c r="C105" s="27"/>
      <c r="D105" s="27"/>
      <c r="E105" s="27"/>
      <c r="F105" s="28"/>
      <c r="G105" s="25"/>
      <c r="H105" s="25"/>
      <c r="I105" s="25"/>
      <c r="J105" s="26"/>
      <c r="K105" s="26"/>
      <c r="L105" s="27"/>
      <c r="M105" s="25"/>
      <c r="N105" s="26"/>
      <c r="O105" s="29"/>
      <c r="P105" s="29"/>
      <c r="Q105" s="30" t="str">
        <f aca="true">IF(B105="","",TODAY()-B105)</f>
        <v/>
      </c>
      <c r="R105" s="27"/>
    </row>
    <row r="106" customFormat="false" ht="15" hidden="false" customHeight="false" outlineLevel="0" collapsed="false">
      <c r="A106" s="31" t="str">
        <f aca="false">IF(C106="","","L"&amp;TEXT(ROW()-2,"0000"))</f>
        <v/>
      </c>
      <c r="B106" s="32"/>
      <c r="C106" s="33"/>
      <c r="D106" s="33"/>
      <c r="E106" s="33"/>
      <c r="F106" s="34"/>
      <c r="G106" s="31"/>
      <c r="H106" s="31"/>
      <c r="I106" s="31"/>
      <c r="J106" s="32"/>
      <c r="K106" s="32"/>
      <c r="L106" s="33"/>
      <c r="M106" s="31"/>
      <c r="N106" s="32"/>
      <c r="O106" s="35"/>
      <c r="P106" s="35"/>
      <c r="Q106" s="36" t="str">
        <f aca="true">IF(B106="","",TODAY()-B106)</f>
        <v/>
      </c>
      <c r="R106" s="33"/>
    </row>
    <row r="107" customFormat="false" ht="15" hidden="false" customHeight="false" outlineLevel="0" collapsed="false">
      <c r="A107" s="25" t="str">
        <f aca="false">IF(C107="","","L"&amp;TEXT(ROW()-2,"0000"))</f>
        <v/>
      </c>
      <c r="B107" s="26"/>
      <c r="C107" s="27"/>
      <c r="D107" s="27"/>
      <c r="E107" s="27"/>
      <c r="F107" s="28"/>
      <c r="G107" s="25"/>
      <c r="H107" s="25"/>
      <c r="I107" s="25"/>
      <c r="J107" s="26"/>
      <c r="K107" s="26"/>
      <c r="L107" s="27"/>
      <c r="M107" s="25"/>
      <c r="N107" s="26"/>
      <c r="O107" s="29"/>
      <c r="P107" s="29"/>
      <c r="Q107" s="30" t="str">
        <f aca="true">IF(B107="","",TODAY()-B107)</f>
        <v/>
      </c>
      <c r="R107" s="27"/>
    </row>
    <row r="108" customFormat="false" ht="15" hidden="false" customHeight="false" outlineLevel="0" collapsed="false">
      <c r="A108" s="31" t="str">
        <f aca="false">IF(C108="","","L"&amp;TEXT(ROW()-2,"0000"))</f>
        <v/>
      </c>
      <c r="B108" s="32"/>
      <c r="C108" s="33"/>
      <c r="D108" s="33"/>
      <c r="E108" s="33"/>
      <c r="F108" s="34"/>
      <c r="G108" s="31"/>
      <c r="H108" s="31"/>
      <c r="I108" s="31"/>
      <c r="J108" s="32"/>
      <c r="K108" s="32"/>
      <c r="L108" s="33"/>
      <c r="M108" s="31"/>
      <c r="N108" s="32"/>
      <c r="O108" s="35"/>
      <c r="P108" s="35"/>
      <c r="Q108" s="36" t="str">
        <f aca="true">IF(B108="","",TODAY()-B108)</f>
        <v/>
      </c>
      <c r="R108" s="33"/>
    </row>
    <row r="109" customFormat="false" ht="15" hidden="false" customHeight="false" outlineLevel="0" collapsed="false">
      <c r="A109" s="25" t="str">
        <f aca="false">IF(C109="","","L"&amp;TEXT(ROW()-2,"0000"))</f>
        <v/>
      </c>
      <c r="B109" s="26"/>
      <c r="C109" s="27"/>
      <c r="D109" s="27"/>
      <c r="E109" s="27"/>
      <c r="F109" s="28"/>
      <c r="G109" s="25"/>
      <c r="H109" s="25"/>
      <c r="I109" s="25"/>
      <c r="J109" s="26"/>
      <c r="K109" s="26"/>
      <c r="L109" s="27"/>
      <c r="M109" s="25"/>
      <c r="N109" s="26"/>
      <c r="O109" s="29"/>
      <c r="P109" s="29"/>
      <c r="Q109" s="30" t="str">
        <f aca="true">IF(B109="","",TODAY()-B109)</f>
        <v/>
      </c>
      <c r="R109" s="27"/>
    </row>
    <row r="110" customFormat="false" ht="15" hidden="false" customHeight="false" outlineLevel="0" collapsed="false">
      <c r="A110" s="31" t="str">
        <f aca="false">IF(C110="","","L"&amp;TEXT(ROW()-2,"0000"))</f>
        <v/>
      </c>
      <c r="B110" s="32"/>
      <c r="C110" s="33"/>
      <c r="D110" s="33"/>
      <c r="E110" s="33"/>
      <c r="F110" s="34"/>
      <c r="G110" s="31"/>
      <c r="H110" s="31"/>
      <c r="I110" s="31"/>
      <c r="J110" s="32"/>
      <c r="K110" s="32"/>
      <c r="L110" s="33"/>
      <c r="M110" s="31"/>
      <c r="N110" s="32"/>
      <c r="O110" s="35"/>
      <c r="P110" s="35"/>
      <c r="Q110" s="36" t="str">
        <f aca="true">IF(B110="","",TODAY()-B110)</f>
        <v/>
      </c>
      <c r="R110" s="33"/>
    </row>
    <row r="111" customFormat="false" ht="15" hidden="false" customHeight="false" outlineLevel="0" collapsed="false">
      <c r="A111" s="25" t="str">
        <f aca="false">IF(C111="","","L"&amp;TEXT(ROW()-2,"0000"))</f>
        <v/>
      </c>
      <c r="B111" s="26"/>
      <c r="C111" s="27"/>
      <c r="D111" s="27"/>
      <c r="E111" s="27"/>
      <c r="F111" s="28"/>
      <c r="G111" s="25"/>
      <c r="H111" s="25"/>
      <c r="I111" s="25"/>
      <c r="J111" s="26"/>
      <c r="K111" s="26"/>
      <c r="L111" s="27"/>
      <c r="M111" s="25"/>
      <c r="N111" s="26"/>
      <c r="O111" s="29"/>
      <c r="P111" s="29"/>
      <c r="Q111" s="30" t="str">
        <f aca="true">IF(B111="","",TODAY()-B111)</f>
        <v/>
      </c>
      <c r="R111" s="27"/>
    </row>
    <row r="112" customFormat="false" ht="15" hidden="false" customHeight="false" outlineLevel="0" collapsed="false">
      <c r="A112" s="31" t="str">
        <f aca="false">IF(C112="","","L"&amp;TEXT(ROW()-2,"0000"))</f>
        <v/>
      </c>
      <c r="B112" s="32"/>
      <c r="C112" s="33"/>
      <c r="D112" s="33"/>
      <c r="E112" s="33"/>
      <c r="F112" s="34"/>
      <c r="G112" s="31"/>
      <c r="H112" s="31"/>
      <c r="I112" s="31"/>
      <c r="J112" s="32"/>
      <c r="K112" s="32"/>
      <c r="L112" s="33"/>
      <c r="M112" s="31"/>
      <c r="N112" s="32"/>
      <c r="O112" s="35"/>
      <c r="P112" s="35"/>
      <c r="Q112" s="36" t="str">
        <f aca="true">IF(B112="","",TODAY()-B112)</f>
        <v/>
      </c>
      <c r="R112" s="33"/>
    </row>
    <row r="113" customFormat="false" ht="15" hidden="false" customHeight="false" outlineLevel="0" collapsed="false">
      <c r="A113" s="25" t="str">
        <f aca="false">IF(C113="","","L"&amp;TEXT(ROW()-2,"0000"))</f>
        <v/>
      </c>
      <c r="B113" s="26"/>
      <c r="C113" s="27"/>
      <c r="D113" s="27"/>
      <c r="E113" s="27"/>
      <c r="F113" s="28"/>
      <c r="G113" s="25"/>
      <c r="H113" s="25"/>
      <c r="I113" s="25"/>
      <c r="J113" s="26"/>
      <c r="K113" s="26"/>
      <c r="L113" s="27"/>
      <c r="M113" s="25"/>
      <c r="N113" s="26"/>
      <c r="O113" s="29"/>
      <c r="P113" s="29"/>
      <c r="Q113" s="30" t="str">
        <f aca="true">IF(B113="","",TODAY()-B113)</f>
        <v/>
      </c>
      <c r="R113" s="27"/>
    </row>
    <row r="114" customFormat="false" ht="15" hidden="false" customHeight="false" outlineLevel="0" collapsed="false">
      <c r="A114" s="31" t="str">
        <f aca="false">IF(C114="","","L"&amp;TEXT(ROW()-2,"0000"))</f>
        <v/>
      </c>
      <c r="B114" s="32"/>
      <c r="C114" s="33"/>
      <c r="D114" s="33"/>
      <c r="E114" s="33"/>
      <c r="F114" s="34"/>
      <c r="G114" s="31"/>
      <c r="H114" s="31"/>
      <c r="I114" s="31"/>
      <c r="J114" s="32"/>
      <c r="K114" s="32"/>
      <c r="L114" s="33"/>
      <c r="M114" s="31"/>
      <c r="N114" s="32"/>
      <c r="O114" s="35"/>
      <c r="P114" s="35"/>
      <c r="Q114" s="36" t="str">
        <f aca="true">IF(B114="","",TODAY()-B114)</f>
        <v/>
      </c>
      <c r="R114" s="33"/>
    </row>
    <row r="115" customFormat="false" ht="15" hidden="false" customHeight="false" outlineLevel="0" collapsed="false">
      <c r="A115" s="25" t="str">
        <f aca="false">IF(C115="","","L"&amp;TEXT(ROW()-2,"0000"))</f>
        <v/>
      </c>
      <c r="B115" s="26"/>
      <c r="C115" s="27"/>
      <c r="D115" s="27"/>
      <c r="E115" s="27"/>
      <c r="F115" s="28"/>
      <c r="G115" s="25"/>
      <c r="H115" s="25"/>
      <c r="I115" s="25"/>
      <c r="J115" s="26"/>
      <c r="K115" s="26"/>
      <c r="L115" s="27"/>
      <c r="M115" s="25"/>
      <c r="N115" s="26"/>
      <c r="O115" s="29"/>
      <c r="P115" s="29"/>
      <c r="Q115" s="30" t="str">
        <f aca="true">IF(B115="","",TODAY()-B115)</f>
        <v/>
      </c>
      <c r="R115" s="27"/>
    </row>
    <row r="116" customFormat="false" ht="15" hidden="false" customHeight="false" outlineLevel="0" collapsed="false">
      <c r="A116" s="31" t="str">
        <f aca="false">IF(C116="","","L"&amp;TEXT(ROW()-2,"0000"))</f>
        <v/>
      </c>
      <c r="B116" s="32"/>
      <c r="C116" s="33"/>
      <c r="D116" s="33"/>
      <c r="E116" s="33"/>
      <c r="F116" s="34"/>
      <c r="G116" s="31"/>
      <c r="H116" s="31"/>
      <c r="I116" s="31"/>
      <c r="J116" s="32"/>
      <c r="K116" s="32"/>
      <c r="L116" s="33"/>
      <c r="M116" s="31"/>
      <c r="N116" s="32"/>
      <c r="O116" s="35"/>
      <c r="P116" s="35"/>
      <c r="Q116" s="36" t="str">
        <f aca="true">IF(B116="","",TODAY()-B116)</f>
        <v/>
      </c>
      <c r="R116" s="33"/>
    </row>
    <row r="117" customFormat="false" ht="15" hidden="false" customHeight="false" outlineLevel="0" collapsed="false">
      <c r="A117" s="25" t="str">
        <f aca="false">IF(C117="","","L"&amp;TEXT(ROW()-2,"0000"))</f>
        <v/>
      </c>
      <c r="B117" s="26"/>
      <c r="C117" s="27"/>
      <c r="D117" s="27"/>
      <c r="E117" s="27"/>
      <c r="F117" s="28"/>
      <c r="G117" s="25"/>
      <c r="H117" s="25"/>
      <c r="I117" s="25"/>
      <c r="J117" s="26"/>
      <c r="K117" s="26"/>
      <c r="L117" s="27"/>
      <c r="M117" s="25"/>
      <c r="N117" s="26"/>
      <c r="O117" s="29"/>
      <c r="P117" s="29"/>
      <c r="Q117" s="30" t="str">
        <f aca="true">IF(B117="","",TODAY()-B117)</f>
        <v/>
      </c>
      <c r="R117" s="27"/>
    </row>
    <row r="118" customFormat="false" ht="15" hidden="false" customHeight="false" outlineLevel="0" collapsed="false">
      <c r="A118" s="31" t="str">
        <f aca="false">IF(C118="","","L"&amp;TEXT(ROW()-2,"0000"))</f>
        <v/>
      </c>
      <c r="B118" s="32"/>
      <c r="C118" s="33"/>
      <c r="D118" s="33"/>
      <c r="E118" s="33"/>
      <c r="F118" s="34"/>
      <c r="G118" s="31"/>
      <c r="H118" s="31"/>
      <c r="I118" s="31"/>
      <c r="J118" s="32"/>
      <c r="K118" s="32"/>
      <c r="L118" s="33"/>
      <c r="M118" s="31"/>
      <c r="N118" s="32"/>
      <c r="O118" s="35"/>
      <c r="P118" s="35"/>
      <c r="Q118" s="36" t="str">
        <f aca="true">IF(B118="","",TODAY()-B118)</f>
        <v/>
      </c>
      <c r="R118" s="33"/>
    </row>
    <row r="119" customFormat="false" ht="15" hidden="false" customHeight="false" outlineLevel="0" collapsed="false">
      <c r="A119" s="25" t="str">
        <f aca="false">IF(C119="","","L"&amp;TEXT(ROW()-2,"0000"))</f>
        <v/>
      </c>
      <c r="B119" s="26"/>
      <c r="C119" s="27"/>
      <c r="D119" s="27"/>
      <c r="E119" s="27"/>
      <c r="F119" s="28"/>
      <c r="G119" s="25"/>
      <c r="H119" s="25"/>
      <c r="I119" s="25"/>
      <c r="J119" s="26"/>
      <c r="K119" s="26"/>
      <c r="L119" s="27"/>
      <c r="M119" s="25"/>
      <c r="N119" s="26"/>
      <c r="O119" s="29"/>
      <c r="P119" s="29"/>
      <c r="Q119" s="30" t="str">
        <f aca="true">IF(B119="","",TODAY()-B119)</f>
        <v/>
      </c>
      <c r="R119" s="27"/>
    </row>
    <row r="120" customFormat="false" ht="15" hidden="false" customHeight="false" outlineLevel="0" collapsed="false">
      <c r="A120" s="31" t="str">
        <f aca="false">IF(C120="","","L"&amp;TEXT(ROW()-2,"0000"))</f>
        <v/>
      </c>
      <c r="B120" s="32"/>
      <c r="C120" s="33"/>
      <c r="D120" s="33"/>
      <c r="E120" s="33"/>
      <c r="F120" s="34"/>
      <c r="G120" s="31"/>
      <c r="H120" s="31"/>
      <c r="I120" s="31"/>
      <c r="J120" s="32"/>
      <c r="K120" s="32"/>
      <c r="L120" s="33"/>
      <c r="M120" s="31"/>
      <c r="N120" s="32"/>
      <c r="O120" s="35"/>
      <c r="P120" s="35"/>
      <c r="Q120" s="36" t="str">
        <f aca="true">IF(B120="","",TODAY()-B120)</f>
        <v/>
      </c>
      <c r="R120" s="33"/>
    </row>
    <row r="121" customFormat="false" ht="15" hidden="false" customHeight="false" outlineLevel="0" collapsed="false">
      <c r="A121" s="25" t="str">
        <f aca="false">IF(C121="","","L"&amp;TEXT(ROW()-2,"0000"))</f>
        <v/>
      </c>
      <c r="B121" s="26"/>
      <c r="C121" s="27"/>
      <c r="D121" s="27"/>
      <c r="E121" s="27"/>
      <c r="F121" s="28"/>
      <c r="G121" s="25"/>
      <c r="H121" s="25"/>
      <c r="I121" s="25"/>
      <c r="J121" s="26"/>
      <c r="K121" s="26"/>
      <c r="L121" s="27"/>
      <c r="M121" s="25"/>
      <c r="N121" s="26"/>
      <c r="O121" s="29"/>
      <c r="P121" s="29"/>
      <c r="Q121" s="30" t="str">
        <f aca="true">IF(B121="","",TODAY()-B121)</f>
        <v/>
      </c>
      <c r="R121" s="27"/>
    </row>
    <row r="122" customFormat="false" ht="15" hidden="false" customHeight="false" outlineLevel="0" collapsed="false">
      <c r="A122" s="31" t="str">
        <f aca="false">IF(C122="","","L"&amp;TEXT(ROW()-2,"0000"))</f>
        <v/>
      </c>
      <c r="B122" s="32"/>
      <c r="C122" s="33"/>
      <c r="D122" s="33"/>
      <c r="E122" s="33"/>
      <c r="F122" s="34"/>
      <c r="G122" s="31"/>
      <c r="H122" s="31"/>
      <c r="I122" s="31"/>
      <c r="J122" s="32"/>
      <c r="K122" s="32"/>
      <c r="L122" s="33"/>
      <c r="M122" s="31"/>
      <c r="N122" s="32"/>
      <c r="O122" s="35"/>
      <c r="P122" s="35"/>
      <c r="Q122" s="36" t="str">
        <f aca="true">IF(B122="","",TODAY()-B122)</f>
        <v/>
      </c>
      <c r="R122" s="33"/>
    </row>
    <row r="123" customFormat="false" ht="15" hidden="false" customHeight="false" outlineLevel="0" collapsed="false">
      <c r="A123" s="25" t="str">
        <f aca="false">IF(C123="","","L"&amp;TEXT(ROW()-2,"0000"))</f>
        <v/>
      </c>
      <c r="B123" s="26"/>
      <c r="C123" s="27"/>
      <c r="D123" s="27"/>
      <c r="E123" s="27"/>
      <c r="F123" s="28"/>
      <c r="G123" s="25"/>
      <c r="H123" s="25"/>
      <c r="I123" s="25"/>
      <c r="J123" s="26"/>
      <c r="K123" s="26"/>
      <c r="L123" s="27"/>
      <c r="M123" s="25"/>
      <c r="N123" s="26"/>
      <c r="O123" s="29"/>
      <c r="P123" s="29"/>
      <c r="Q123" s="30" t="str">
        <f aca="true">IF(B123="","",TODAY()-B123)</f>
        <v/>
      </c>
      <c r="R123" s="27"/>
    </row>
    <row r="124" customFormat="false" ht="15" hidden="false" customHeight="false" outlineLevel="0" collapsed="false">
      <c r="A124" s="31" t="str">
        <f aca="false">IF(C124="","","L"&amp;TEXT(ROW()-2,"0000"))</f>
        <v/>
      </c>
      <c r="B124" s="32"/>
      <c r="C124" s="33"/>
      <c r="D124" s="33"/>
      <c r="E124" s="33"/>
      <c r="F124" s="34"/>
      <c r="G124" s="31"/>
      <c r="H124" s="31"/>
      <c r="I124" s="31"/>
      <c r="J124" s="32"/>
      <c r="K124" s="32"/>
      <c r="L124" s="33"/>
      <c r="M124" s="31"/>
      <c r="N124" s="32"/>
      <c r="O124" s="35"/>
      <c r="P124" s="35"/>
      <c r="Q124" s="36" t="str">
        <f aca="true">IF(B124="","",TODAY()-B124)</f>
        <v/>
      </c>
      <c r="R124" s="33"/>
    </row>
    <row r="125" customFormat="false" ht="15" hidden="false" customHeight="false" outlineLevel="0" collapsed="false">
      <c r="A125" s="25" t="str">
        <f aca="false">IF(C125="","","L"&amp;TEXT(ROW()-2,"0000"))</f>
        <v/>
      </c>
      <c r="B125" s="26"/>
      <c r="C125" s="27"/>
      <c r="D125" s="27"/>
      <c r="E125" s="27"/>
      <c r="F125" s="28"/>
      <c r="G125" s="25"/>
      <c r="H125" s="25"/>
      <c r="I125" s="25"/>
      <c r="J125" s="26"/>
      <c r="K125" s="26"/>
      <c r="L125" s="27"/>
      <c r="M125" s="25"/>
      <c r="N125" s="26"/>
      <c r="O125" s="29"/>
      <c r="P125" s="29"/>
      <c r="Q125" s="30" t="str">
        <f aca="true">IF(B125="","",TODAY()-B125)</f>
        <v/>
      </c>
      <c r="R125" s="27"/>
    </row>
    <row r="126" customFormat="false" ht="15" hidden="false" customHeight="false" outlineLevel="0" collapsed="false">
      <c r="A126" s="31" t="str">
        <f aca="false">IF(C126="","","L"&amp;TEXT(ROW()-2,"0000"))</f>
        <v/>
      </c>
      <c r="B126" s="32"/>
      <c r="C126" s="33"/>
      <c r="D126" s="33"/>
      <c r="E126" s="33"/>
      <c r="F126" s="34"/>
      <c r="G126" s="31"/>
      <c r="H126" s="31"/>
      <c r="I126" s="31"/>
      <c r="J126" s="32"/>
      <c r="K126" s="32"/>
      <c r="L126" s="33"/>
      <c r="M126" s="31"/>
      <c r="N126" s="32"/>
      <c r="O126" s="35"/>
      <c r="P126" s="35"/>
      <c r="Q126" s="36" t="str">
        <f aca="true">IF(B126="","",TODAY()-B126)</f>
        <v/>
      </c>
      <c r="R126" s="33"/>
    </row>
    <row r="127" customFormat="false" ht="15" hidden="false" customHeight="false" outlineLevel="0" collapsed="false">
      <c r="A127" s="25" t="str">
        <f aca="false">IF(C127="","","L"&amp;TEXT(ROW()-2,"0000"))</f>
        <v/>
      </c>
      <c r="B127" s="26"/>
      <c r="C127" s="27"/>
      <c r="D127" s="27"/>
      <c r="E127" s="27"/>
      <c r="F127" s="28"/>
      <c r="G127" s="25"/>
      <c r="H127" s="25"/>
      <c r="I127" s="25"/>
      <c r="J127" s="26"/>
      <c r="K127" s="26"/>
      <c r="L127" s="27"/>
      <c r="M127" s="25"/>
      <c r="N127" s="26"/>
      <c r="O127" s="29"/>
      <c r="P127" s="29"/>
      <c r="Q127" s="30" t="str">
        <f aca="true">IF(B127="","",TODAY()-B127)</f>
        <v/>
      </c>
      <c r="R127" s="27"/>
    </row>
    <row r="128" customFormat="false" ht="15" hidden="false" customHeight="false" outlineLevel="0" collapsed="false">
      <c r="A128" s="31" t="str">
        <f aca="false">IF(C128="","","L"&amp;TEXT(ROW()-2,"0000"))</f>
        <v/>
      </c>
      <c r="B128" s="32"/>
      <c r="C128" s="33"/>
      <c r="D128" s="33"/>
      <c r="E128" s="33"/>
      <c r="F128" s="34"/>
      <c r="G128" s="31"/>
      <c r="H128" s="31"/>
      <c r="I128" s="31"/>
      <c r="J128" s="32"/>
      <c r="K128" s="32"/>
      <c r="L128" s="33"/>
      <c r="M128" s="31"/>
      <c r="N128" s="32"/>
      <c r="O128" s="35"/>
      <c r="P128" s="35"/>
      <c r="Q128" s="36" t="str">
        <f aca="true">IF(B128="","",TODAY()-B128)</f>
        <v/>
      </c>
      <c r="R128" s="33"/>
    </row>
    <row r="129" customFormat="false" ht="15" hidden="false" customHeight="false" outlineLevel="0" collapsed="false">
      <c r="A129" s="25" t="str">
        <f aca="false">IF(C129="","","L"&amp;TEXT(ROW()-2,"0000"))</f>
        <v/>
      </c>
      <c r="B129" s="26"/>
      <c r="C129" s="27"/>
      <c r="D129" s="27"/>
      <c r="E129" s="27"/>
      <c r="F129" s="28"/>
      <c r="G129" s="25"/>
      <c r="H129" s="25"/>
      <c r="I129" s="25"/>
      <c r="J129" s="26"/>
      <c r="K129" s="26"/>
      <c r="L129" s="27"/>
      <c r="M129" s="25"/>
      <c r="N129" s="26"/>
      <c r="O129" s="29"/>
      <c r="P129" s="29"/>
      <c r="Q129" s="30" t="str">
        <f aca="true">IF(B129="","",TODAY()-B129)</f>
        <v/>
      </c>
      <c r="R129" s="27"/>
    </row>
    <row r="130" customFormat="false" ht="15" hidden="false" customHeight="false" outlineLevel="0" collapsed="false">
      <c r="A130" s="31" t="str">
        <f aca="false">IF(C130="","","L"&amp;TEXT(ROW()-2,"0000"))</f>
        <v/>
      </c>
      <c r="B130" s="32"/>
      <c r="C130" s="33"/>
      <c r="D130" s="33"/>
      <c r="E130" s="33"/>
      <c r="F130" s="34"/>
      <c r="G130" s="31"/>
      <c r="H130" s="31"/>
      <c r="I130" s="31"/>
      <c r="J130" s="32"/>
      <c r="K130" s="32"/>
      <c r="L130" s="33"/>
      <c r="M130" s="31"/>
      <c r="N130" s="32"/>
      <c r="O130" s="35"/>
      <c r="P130" s="35"/>
      <c r="Q130" s="36" t="str">
        <f aca="true">IF(B130="","",TODAY()-B130)</f>
        <v/>
      </c>
      <c r="R130" s="33"/>
    </row>
    <row r="131" customFormat="false" ht="15" hidden="false" customHeight="false" outlineLevel="0" collapsed="false">
      <c r="A131" s="25" t="str">
        <f aca="false">IF(C131="","","L"&amp;TEXT(ROW()-2,"0000"))</f>
        <v/>
      </c>
      <c r="B131" s="26"/>
      <c r="C131" s="27"/>
      <c r="D131" s="27"/>
      <c r="E131" s="27"/>
      <c r="F131" s="28"/>
      <c r="G131" s="25"/>
      <c r="H131" s="25"/>
      <c r="I131" s="25"/>
      <c r="J131" s="26"/>
      <c r="K131" s="26"/>
      <c r="L131" s="27"/>
      <c r="M131" s="25"/>
      <c r="N131" s="26"/>
      <c r="O131" s="29"/>
      <c r="P131" s="29"/>
      <c r="Q131" s="30" t="str">
        <f aca="true">IF(B131="","",TODAY()-B131)</f>
        <v/>
      </c>
      <c r="R131" s="27"/>
    </row>
    <row r="132" customFormat="false" ht="15" hidden="false" customHeight="false" outlineLevel="0" collapsed="false">
      <c r="A132" s="31" t="str">
        <f aca="false">IF(C132="","","L"&amp;TEXT(ROW()-2,"0000"))</f>
        <v/>
      </c>
      <c r="B132" s="32"/>
      <c r="C132" s="33"/>
      <c r="D132" s="33"/>
      <c r="E132" s="33"/>
      <c r="F132" s="34"/>
      <c r="G132" s="31"/>
      <c r="H132" s="31"/>
      <c r="I132" s="31"/>
      <c r="J132" s="32"/>
      <c r="K132" s="32"/>
      <c r="L132" s="33"/>
      <c r="M132" s="31"/>
      <c r="N132" s="32"/>
      <c r="O132" s="35"/>
      <c r="P132" s="35"/>
      <c r="Q132" s="36" t="str">
        <f aca="true">IF(B132="","",TODAY()-B132)</f>
        <v/>
      </c>
      <c r="R132" s="33"/>
    </row>
    <row r="133" customFormat="false" ht="15" hidden="false" customHeight="false" outlineLevel="0" collapsed="false">
      <c r="A133" s="25" t="str">
        <f aca="false">IF(C133="","","L"&amp;TEXT(ROW()-2,"0000"))</f>
        <v/>
      </c>
      <c r="B133" s="26"/>
      <c r="C133" s="27"/>
      <c r="D133" s="27"/>
      <c r="E133" s="27"/>
      <c r="F133" s="28"/>
      <c r="G133" s="25"/>
      <c r="H133" s="25"/>
      <c r="I133" s="25"/>
      <c r="J133" s="26"/>
      <c r="K133" s="26"/>
      <c r="L133" s="27"/>
      <c r="M133" s="25"/>
      <c r="N133" s="26"/>
      <c r="O133" s="29"/>
      <c r="P133" s="29"/>
      <c r="Q133" s="30" t="str">
        <f aca="true">IF(B133="","",TODAY()-B133)</f>
        <v/>
      </c>
      <c r="R133" s="27"/>
    </row>
    <row r="134" customFormat="false" ht="15" hidden="false" customHeight="false" outlineLevel="0" collapsed="false">
      <c r="A134" s="31" t="str">
        <f aca="false">IF(C134="","","L"&amp;TEXT(ROW()-2,"0000"))</f>
        <v/>
      </c>
      <c r="B134" s="32"/>
      <c r="C134" s="33"/>
      <c r="D134" s="33"/>
      <c r="E134" s="33"/>
      <c r="F134" s="34"/>
      <c r="G134" s="31"/>
      <c r="H134" s="31"/>
      <c r="I134" s="31"/>
      <c r="J134" s="32"/>
      <c r="K134" s="32"/>
      <c r="L134" s="33"/>
      <c r="M134" s="31"/>
      <c r="N134" s="32"/>
      <c r="O134" s="35"/>
      <c r="P134" s="35"/>
      <c r="Q134" s="36" t="str">
        <f aca="true">IF(B134="","",TODAY()-B134)</f>
        <v/>
      </c>
      <c r="R134" s="33"/>
    </row>
    <row r="135" customFormat="false" ht="15" hidden="false" customHeight="false" outlineLevel="0" collapsed="false">
      <c r="A135" s="25" t="str">
        <f aca="false">IF(C135="","","L"&amp;TEXT(ROW()-2,"0000"))</f>
        <v/>
      </c>
      <c r="B135" s="26"/>
      <c r="C135" s="27"/>
      <c r="D135" s="27"/>
      <c r="E135" s="27"/>
      <c r="F135" s="28"/>
      <c r="G135" s="25"/>
      <c r="H135" s="25"/>
      <c r="I135" s="25"/>
      <c r="J135" s="26"/>
      <c r="K135" s="26"/>
      <c r="L135" s="27"/>
      <c r="M135" s="25"/>
      <c r="N135" s="26"/>
      <c r="O135" s="29"/>
      <c r="P135" s="29"/>
      <c r="Q135" s="30" t="str">
        <f aca="true">IF(B135="","",TODAY()-B135)</f>
        <v/>
      </c>
      <c r="R135" s="27"/>
    </row>
    <row r="136" customFormat="false" ht="15" hidden="false" customHeight="false" outlineLevel="0" collapsed="false">
      <c r="A136" s="31" t="str">
        <f aca="false">IF(C136="","","L"&amp;TEXT(ROW()-2,"0000"))</f>
        <v/>
      </c>
      <c r="B136" s="32"/>
      <c r="C136" s="33"/>
      <c r="D136" s="33"/>
      <c r="E136" s="33"/>
      <c r="F136" s="34"/>
      <c r="G136" s="31"/>
      <c r="H136" s="31"/>
      <c r="I136" s="31"/>
      <c r="J136" s="32"/>
      <c r="K136" s="32"/>
      <c r="L136" s="33"/>
      <c r="M136" s="31"/>
      <c r="N136" s="32"/>
      <c r="O136" s="35"/>
      <c r="P136" s="35"/>
      <c r="Q136" s="36" t="str">
        <f aca="true">IF(B136="","",TODAY()-B136)</f>
        <v/>
      </c>
      <c r="R136" s="33"/>
    </row>
    <row r="137" customFormat="false" ht="15" hidden="false" customHeight="false" outlineLevel="0" collapsed="false">
      <c r="A137" s="25" t="str">
        <f aca="false">IF(C137="","","L"&amp;TEXT(ROW()-2,"0000"))</f>
        <v/>
      </c>
      <c r="B137" s="26"/>
      <c r="C137" s="27"/>
      <c r="D137" s="27"/>
      <c r="E137" s="27"/>
      <c r="F137" s="28"/>
      <c r="G137" s="25"/>
      <c r="H137" s="25"/>
      <c r="I137" s="25"/>
      <c r="J137" s="26"/>
      <c r="K137" s="26"/>
      <c r="L137" s="27"/>
      <c r="M137" s="25"/>
      <c r="N137" s="26"/>
      <c r="O137" s="29"/>
      <c r="P137" s="29"/>
      <c r="Q137" s="30" t="str">
        <f aca="true">IF(B137="","",TODAY()-B137)</f>
        <v/>
      </c>
      <c r="R137" s="27"/>
    </row>
    <row r="138" customFormat="false" ht="15" hidden="false" customHeight="false" outlineLevel="0" collapsed="false">
      <c r="A138" s="31" t="str">
        <f aca="false">IF(C138="","","L"&amp;TEXT(ROW()-2,"0000"))</f>
        <v/>
      </c>
      <c r="B138" s="32"/>
      <c r="C138" s="33"/>
      <c r="D138" s="33"/>
      <c r="E138" s="33"/>
      <c r="F138" s="34"/>
      <c r="G138" s="31"/>
      <c r="H138" s="31"/>
      <c r="I138" s="31"/>
      <c r="J138" s="32"/>
      <c r="K138" s="32"/>
      <c r="L138" s="33"/>
      <c r="M138" s="31"/>
      <c r="N138" s="32"/>
      <c r="O138" s="35"/>
      <c r="P138" s="35"/>
      <c r="Q138" s="36" t="str">
        <f aca="true">IF(B138="","",TODAY()-B138)</f>
        <v/>
      </c>
      <c r="R138" s="33"/>
    </row>
    <row r="139" customFormat="false" ht="15" hidden="false" customHeight="false" outlineLevel="0" collapsed="false">
      <c r="A139" s="25" t="str">
        <f aca="false">IF(C139="","","L"&amp;TEXT(ROW()-2,"0000"))</f>
        <v/>
      </c>
      <c r="B139" s="26"/>
      <c r="C139" s="27"/>
      <c r="D139" s="27"/>
      <c r="E139" s="27"/>
      <c r="F139" s="28"/>
      <c r="G139" s="25"/>
      <c r="H139" s="25"/>
      <c r="I139" s="25"/>
      <c r="J139" s="26"/>
      <c r="K139" s="26"/>
      <c r="L139" s="27"/>
      <c r="M139" s="25"/>
      <c r="N139" s="26"/>
      <c r="O139" s="29"/>
      <c r="P139" s="29"/>
      <c r="Q139" s="30" t="str">
        <f aca="true">IF(B139="","",TODAY()-B139)</f>
        <v/>
      </c>
      <c r="R139" s="27"/>
    </row>
    <row r="140" customFormat="false" ht="15" hidden="false" customHeight="false" outlineLevel="0" collapsed="false">
      <c r="A140" s="31" t="str">
        <f aca="false">IF(C140="","","L"&amp;TEXT(ROW()-2,"0000"))</f>
        <v/>
      </c>
      <c r="B140" s="32"/>
      <c r="C140" s="33"/>
      <c r="D140" s="33"/>
      <c r="E140" s="33"/>
      <c r="F140" s="34"/>
      <c r="G140" s="31"/>
      <c r="H140" s="31"/>
      <c r="I140" s="31"/>
      <c r="J140" s="32"/>
      <c r="K140" s="32"/>
      <c r="L140" s="33"/>
      <c r="M140" s="31"/>
      <c r="N140" s="32"/>
      <c r="O140" s="35"/>
      <c r="P140" s="35"/>
      <c r="Q140" s="36" t="str">
        <f aca="true">IF(B140="","",TODAY()-B140)</f>
        <v/>
      </c>
      <c r="R140" s="33"/>
    </row>
    <row r="141" customFormat="false" ht="15" hidden="false" customHeight="false" outlineLevel="0" collapsed="false">
      <c r="A141" s="25" t="str">
        <f aca="false">IF(C141="","","L"&amp;TEXT(ROW()-2,"0000"))</f>
        <v/>
      </c>
      <c r="B141" s="26"/>
      <c r="C141" s="27"/>
      <c r="D141" s="27"/>
      <c r="E141" s="27"/>
      <c r="F141" s="28"/>
      <c r="G141" s="25"/>
      <c r="H141" s="25"/>
      <c r="I141" s="25"/>
      <c r="J141" s="26"/>
      <c r="K141" s="26"/>
      <c r="L141" s="27"/>
      <c r="M141" s="25"/>
      <c r="N141" s="26"/>
      <c r="O141" s="29"/>
      <c r="P141" s="29"/>
      <c r="Q141" s="30" t="str">
        <f aca="true">IF(B141="","",TODAY()-B141)</f>
        <v/>
      </c>
      <c r="R141" s="27"/>
    </row>
    <row r="142" customFormat="false" ht="15" hidden="false" customHeight="false" outlineLevel="0" collapsed="false">
      <c r="A142" s="31" t="str">
        <f aca="false">IF(C142="","","L"&amp;TEXT(ROW()-2,"0000"))</f>
        <v/>
      </c>
      <c r="B142" s="32"/>
      <c r="C142" s="33"/>
      <c r="D142" s="33"/>
      <c r="E142" s="33"/>
      <c r="F142" s="34"/>
      <c r="G142" s="31"/>
      <c r="H142" s="31"/>
      <c r="I142" s="31"/>
      <c r="J142" s="32"/>
      <c r="K142" s="32"/>
      <c r="L142" s="33"/>
      <c r="M142" s="31"/>
      <c r="N142" s="32"/>
      <c r="O142" s="35"/>
      <c r="P142" s="35"/>
      <c r="Q142" s="36" t="str">
        <f aca="true">IF(B142="","",TODAY()-B142)</f>
        <v/>
      </c>
      <c r="R142" s="33"/>
    </row>
    <row r="143" customFormat="false" ht="15" hidden="false" customHeight="false" outlineLevel="0" collapsed="false">
      <c r="A143" s="25" t="str">
        <f aca="false">IF(C143="","","L"&amp;TEXT(ROW()-2,"0000"))</f>
        <v/>
      </c>
      <c r="B143" s="26"/>
      <c r="C143" s="27"/>
      <c r="D143" s="27"/>
      <c r="E143" s="27"/>
      <c r="F143" s="28"/>
      <c r="G143" s="25"/>
      <c r="H143" s="25"/>
      <c r="I143" s="25"/>
      <c r="J143" s="26"/>
      <c r="K143" s="26"/>
      <c r="L143" s="27"/>
      <c r="M143" s="25"/>
      <c r="N143" s="26"/>
      <c r="O143" s="29"/>
      <c r="P143" s="29"/>
      <c r="Q143" s="30" t="str">
        <f aca="true">IF(B143="","",TODAY()-B143)</f>
        <v/>
      </c>
      <c r="R143" s="27"/>
    </row>
    <row r="144" customFormat="false" ht="15" hidden="false" customHeight="false" outlineLevel="0" collapsed="false">
      <c r="A144" s="31" t="str">
        <f aca="false">IF(C144="","","L"&amp;TEXT(ROW()-2,"0000"))</f>
        <v/>
      </c>
      <c r="B144" s="32"/>
      <c r="C144" s="33"/>
      <c r="D144" s="33"/>
      <c r="E144" s="33"/>
      <c r="F144" s="34"/>
      <c r="G144" s="31"/>
      <c r="H144" s="31"/>
      <c r="I144" s="31"/>
      <c r="J144" s="32"/>
      <c r="K144" s="32"/>
      <c r="L144" s="33"/>
      <c r="M144" s="31"/>
      <c r="N144" s="32"/>
      <c r="O144" s="35"/>
      <c r="P144" s="35"/>
      <c r="Q144" s="36" t="str">
        <f aca="true">IF(B144="","",TODAY()-B144)</f>
        <v/>
      </c>
      <c r="R144" s="33"/>
    </row>
    <row r="145" customFormat="false" ht="15" hidden="false" customHeight="false" outlineLevel="0" collapsed="false">
      <c r="A145" s="25" t="str">
        <f aca="false">IF(C145="","","L"&amp;TEXT(ROW()-2,"0000"))</f>
        <v/>
      </c>
      <c r="B145" s="26"/>
      <c r="C145" s="27"/>
      <c r="D145" s="27"/>
      <c r="E145" s="27"/>
      <c r="F145" s="28"/>
      <c r="G145" s="25"/>
      <c r="H145" s="25"/>
      <c r="I145" s="25"/>
      <c r="J145" s="26"/>
      <c r="K145" s="26"/>
      <c r="L145" s="27"/>
      <c r="M145" s="25"/>
      <c r="N145" s="26"/>
      <c r="O145" s="29"/>
      <c r="P145" s="29"/>
      <c r="Q145" s="30" t="str">
        <f aca="true">IF(B145="","",TODAY()-B145)</f>
        <v/>
      </c>
      <c r="R145" s="27"/>
    </row>
    <row r="146" customFormat="false" ht="15" hidden="false" customHeight="false" outlineLevel="0" collapsed="false">
      <c r="A146" s="31" t="str">
        <f aca="false">IF(C146="","","L"&amp;TEXT(ROW()-2,"0000"))</f>
        <v/>
      </c>
      <c r="B146" s="32"/>
      <c r="C146" s="33"/>
      <c r="D146" s="33"/>
      <c r="E146" s="33"/>
      <c r="F146" s="34"/>
      <c r="G146" s="31"/>
      <c r="H146" s="31"/>
      <c r="I146" s="31"/>
      <c r="J146" s="32"/>
      <c r="K146" s="32"/>
      <c r="L146" s="33"/>
      <c r="M146" s="31"/>
      <c r="N146" s="32"/>
      <c r="O146" s="35"/>
      <c r="P146" s="35"/>
      <c r="Q146" s="36" t="str">
        <f aca="true">IF(B146="","",TODAY()-B146)</f>
        <v/>
      </c>
      <c r="R146" s="33"/>
    </row>
    <row r="147" customFormat="false" ht="15" hidden="false" customHeight="false" outlineLevel="0" collapsed="false">
      <c r="A147" s="25" t="str">
        <f aca="false">IF(C147="","","L"&amp;TEXT(ROW()-2,"0000"))</f>
        <v/>
      </c>
      <c r="B147" s="26"/>
      <c r="C147" s="27"/>
      <c r="D147" s="27"/>
      <c r="E147" s="27"/>
      <c r="F147" s="28"/>
      <c r="G147" s="25"/>
      <c r="H147" s="25"/>
      <c r="I147" s="25"/>
      <c r="J147" s="26"/>
      <c r="K147" s="26"/>
      <c r="L147" s="27"/>
      <c r="M147" s="25"/>
      <c r="N147" s="26"/>
      <c r="O147" s="29"/>
      <c r="P147" s="29"/>
      <c r="Q147" s="30" t="str">
        <f aca="true">IF(B147="","",TODAY()-B147)</f>
        <v/>
      </c>
      <c r="R147" s="27"/>
    </row>
    <row r="148" customFormat="false" ht="15" hidden="false" customHeight="false" outlineLevel="0" collapsed="false">
      <c r="A148" s="31" t="str">
        <f aca="false">IF(C148="","","L"&amp;TEXT(ROW()-2,"0000"))</f>
        <v/>
      </c>
      <c r="B148" s="32"/>
      <c r="C148" s="33"/>
      <c r="D148" s="33"/>
      <c r="E148" s="33"/>
      <c r="F148" s="34"/>
      <c r="G148" s="31"/>
      <c r="H148" s="31"/>
      <c r="I148" s="31"/>
      <c r="J148" s="32"/>
      <c r="K148" s="32"/>
      <c r="L148" s="33"/>
      <c r="M148" s="31"/>
      <c r="N148" s="32"/>
      <c r="O148" s="35"/>
      <c r="P148" s="35"/>
      <c r="Q148" s="36" t="str">
        <f aca="true">IF(B148="","",TODAY()-B148)</f>
        <v/>
      </c>
      <c r="R148" s="33"/>
    </row>
    <row r="149" customFormat="false" ht="15" hidden="false" customHeight="false" outlineLevel="0" collapsed="false">
      <c r="A149" s="25" t="str">
        <f aca="false">IF(C149="","","L"&amp;TEXT(ROW()-2,"0000"))</f>
        <v/>
      </c>
      <c r="B149" s="26"/>
      <c r="C149" s="27"/>
      <c r="D149" s="27"/>
      <c r="E149" s="27"/>
      <c r="F149" s="28"/>
      <c r="G149" s="25"/>
      <c r="H149" s="25"/>
      <c r="I149" s="25"/>
      <c r="J149" s="26"/>
      <c r="K149" s="26"/>
      <c r="L149" s="27"/>
      <c r="M149" s="25"/>
      <c r="N149" s="26"/>
      <c r="O149" s="29"/>
      <c r="P149" s="29"/>
      <c r="Q149" s="30" t="str">
        <f aca="true">IF(B149="","",TODAY()-B149)</f>
        <v/>
      </c>
      <c r="R149" s="27"/>
    </row>
    <row r="150" customFormat="false" ht="15" hidden="false" customHeight="false" outlineLevel="0" collapsed="false">
      <c r="A150" s="31" t="str">
        <f aca="false">IF(C150="","","L"&amp;TEXT(ROW()-2,"0000"))</f>
        <v/>
      </c>
      <c r="B150" s="32"/>
      <c r="C150" s="33"/>
      <c r="D150" s="33"/>
      <c r="E150" s="33"/>
      <c r="F150" s="34"/>
      <c r="G150" s="31"/>
      <c r="H150" s="31"/>
      <c r="I150" s="31"/>
      <c r="J150" s="32"/>
      <c r="K150" s="32"/>
      <c r="L150" s="33"/>
      <c r="M150" s="31"/>
      <c r="N150" s="32"/>
      <c r="O150" s="35"/>
      <c r="P150" s="35"/>
      <c r="Q150" s="36" t="str">
        <f aca="true">IF(B150="","",TODAY()-B150)</f>
        <v/>
      </c>
      <c r="R150" s="33"/>
    </row>
    <row r="151" customFormat="false" ht="15" hidden="false" customHeight="false" outlineLevel="0" collapsed="false">
      <c r="A151" s="25" t="str">
        <f aca="false">IF(C151="","","L"&amp;TEXT(ROW()-2,"0000"))</f>
        <v/>
      </c>
      <c r="B151" s="26"/>
      <c r="C151" s="27"/>
      <c r="D151" s="27"/>
      <c r="E151" s="27"/>
      <c r="F151" s="28"/>
      <c r="G151" s="25"/>
      <c r="H151" s="25"/>
      <c r="I151" s="25"/>
      <c r="J151" s="26"/>
      <c r="K151" s="26"/>
      <c r="L151" s="27"/>
      <c r="M151" s="25"/>
      <c r="N151" s="26"/>
      <c r="O151" s="29"/>
      <c r="P151" s="29"/>
      <c r="Q151" s="30" t="str">
        <f aca="true">IF(B151="","",TODAY()-B151)</f>
        <v/>
      </c>
      <c r="R151" s="27"/>
    </row>
    <row r="152" customFormat="false" ht="15" hidden="false" customHeight="false" outlineLevel="0" collapsed="false">
      <c r="A152" s="31" t="str">
        <f aca="false">IF(C152="","","L"&amp;TEXT(ROW()-2,"0000"))</f>
        <v/>
      </c>
      <c r="B152" s="32"/>
      <c r="C152" s="33"/>
      <c r="D152" s="33"/>
      <c r="E152" s="33"/>
      <c r="F152" s="34"/>
      <c r="G152" s="31"/>
      <c r="H152" s="31"/>
      <c r="I152" s="31"/>
      <c r="J152" s="32"/>
      <c r="K152" s="32"/>
      <c r="L152" s="33"/>
      <c r="M152" s="31"/>
      <c r="N152" s="32"/>
      <c r="O152" s="35"/>
      <c r="P152" s="35"/>
      <c r="Q152" s="36" t="str">
        <f aca="true">IF(B152="","",TODAY()-B152)</f>
        <v/>
      </c>
      <c r="R152" s="33"/>
    </row>
    <row r="153" customFormat="false" ht="15" hidden="false" customHeight="false" outlineLevel="0" collapsed="false">
      <c r="A153" s="25" t="str">
        <f aca="false">IF(C153="","","L"&amp;TEXT(ROW()-2,"0000"))</f>
        <v/>
      </c>
      <c r="B153" s="26"/>
      <c r="C153" s="27"/>
      <c r="D153" s="27"/>
      <c r="E153" s="27"/>
      <c r="F153" s="28"/>
      <c r="G153" s="25"/>
      <c r="H153" s="25"/>
      <c r="I153" s="25"/>
      <c r="J153" s="26"/>
      <c r="K153" s="26"/>
      <c r="L153" s="27"/>
      <c r="M153" s="25"/>
      <c r="N153" s="26"/>
      <c r="O153" s="29"/>
      <c r="P153" s="29"/>
      <c r="Q153" s="30" t="str">
        <f aca="true">IF(B153="","",TODAY()-B153)</f>
        <v/>
      </c>
      <c r="R153" s="27"/>
    </row>
    <row r="154" customFormat="false" ht="15" hidden="false" customHeight="false" outlineLevel="0" collapsed="false">
      <c r="A154" s="31" t="str">
        <f aca="false">IF(C154="","","L"&amp;TEXT(ROW()-2,"0000"))</f>
        <v/>
      </c>
      <c r="B154" s="32"/>
      <c r="C154" s="33"/>
      <c r="D154" s="33"/>
      <c r="E154" s="33"/>
      <c r="F154" s="34"/>
      <c r="G154" s="31"/>
      <c r="H154" s="31"/>
      <c r="I154" s="31"/>
      <c r="J154" s="32"/>
      <c r="K154" s="32"/>
      <c r="L154" s="33"/>
      <c r="M154" s="31"/>
      <c r="N154" s="32"/>
      <c r="O154" s="35"/>
      <c r="P154" s="35"/>
      <c r="Q154" s="36" t="str">
        <f aca="true">IF(B154="","",TODAY()-B154)</f>
        <v/>
      </c>
      <c r="R154" s="33"/>
    </row>
    <row r="155" customFormat="false" ht="15" hidden="false" customHeight="false" outlineLevel="0" collapsed="false">
      <c r="A155" s="25" t="str">
        <f aca="false">IF(C155="","","L"&amp;TEXT(ROW()-2,"0000"))</f>
        <v/>
      </c>
      <c r="B155" s="26"/>
      <c r="C155" s="27"/>
      <c r="D155" s="27"/>
      <c r="E155" s="27"/>
      <c r="F155" s="28"/>
      <c r="G155" s="25"/>
      <c r="H155" s="25"/>
      <c r="I155" s="25"/>
      <c r="J155" s="26"/>
      <c r="K155" s="26"/>
      <c r="L155" s="27"/>
      <c r="M155" s="25"/>
      <c r="N155" s="26"/>
      <c r="O155" s="29"/>
      <c r="P155" s="29"/>
      <c r="Q155" s="30" t="str">
        <f aca="true">IF(B155="","",TODAY()-B155)</f>
        <v/>
      </c>
      <c r="R155" s="27"/>
    </row>
    <row r="156" customFormat="false" ht="15" hidden="false" customHeight="false" outlineLevel="0" collapsed="false">
      <c r="A156" s="31" t="str">
        <f aca="false">IF(C156="","","L"&amp;TEXT(ROW()-2,"0000"))</f>
        <v/>
      </c>
      <c r="B156" s="32"/>
      <c r="C156" s="33"/>
      <c r="D156" s="33"/>
      <c r="E156" s="33"/>
      <c r="F156" s="34"/>
      <c r="G156" s="31"/>
      <c r="H156" s="31"/>
      <c r="I156" s="31"/>
      <c r="J156" s="32"/>
      <c r="K156" s="32"/>
      <c r="L156" s="33"/>
      <c r="M156" s="31"/>
      <c r="N156" s="32"/>
      <c r="O156" s="35"/>
      <c r="P156" s="35"/>
      <c r="Q156" s="36" t="str">
        <f aca="true">IF(B156="","",TODAY()-B156)</f>
        <v/>
      </c>
      <c r="R156" s="33"/>
    </row>
    <row r="157" customFormat="false" ht="15" hidden="false" customHeight="false" outlineLevel="0" collapsed="false">
      <c r="A157" s="25" t="str">
        <f aca="false">IF(C157="","","L"&amp;TEXT(ROW()-2,"0000"))</f>
        <v/>
      </c>
      <c r="B157" s="26"/>
      <c r="C157" s="27"/>
      <c r="D157" s="27"/>
      <c r="E157" s="27"/>
      <c r="F157" s="28"/>
      <c r="G157" s="25"/>
      <c r="H157" s="25"/>
      <c r="I157" s="25"/>
      <c r="J157" s="26"/>
      <c r="K157" s="26"/>
      <c r="L157" s="27"/>
      <c r="M157" s="25"/>
      <c r="N157" s="26"/>
      <c r="O157" s="29"/>
      <c r="P157" s="29"/>
      <c r="Q157" s="30" t="str">
        <f aca="true">IF(B157="","",TODAY()-B157)</f>
        <v/>
      </c>
      <c r="R157" s="27"/>
    </row>
    <row r="158" customFormat="false" ht="15" hidden="false" customHeight="false" outlineLevel="0" collapsed="false">
      <c r="A158" s="31" t="str">
        <f aca="false">IF(C158="","","L"&amp;TEXT(ROW()-2,"0000"))</f>
        <v/>
      </c>
      <c r="B158" s="32"/>
      <c r="C158" s="33"/>
      <c r="D158" s="33"/>
      <c r="E158" s="33"/>
      <c r="F158" s="34"/>
      <c r="G158" s="31"/>
      <c r="H158" s="31"/>
      <c r="I158" s="31"/>
      <c r="J158" s="32"/>
      <c r="K158" s="32"/>
      <c r="L158" s="33"/>
      <c r="M158" s="31"/>
      <c r="N158" s="32"/>
      <c r="O158" s="35"/>
      <c r="P158" s="35"/>
      <c r="Q158" s="36" t="str">
        <f aca="true">IF(B158="","",TODAY()-B158)</f>
        <v/>
      </c>
      <c r="R158" s="33"/>
    </row>
    <row r="159" customFormat="false" ht="15" hidden="false" customHeight="false" outlineLevel="0" collapsed="false">
      <c r="A159" s="25" t="str">
        <f aca="false">IF(C159="","","L"&amp;TEXT(ROW()-2,"0000"))</f>
        <v/>
      </c>
      <c r="B159" s="26"/>
      <c r="C159" s="27"/>
      <c r="D159" s="27"/>
      <c r="E159" s="27"/>
      <c r="F159" s="28"/>
      <c r="G159" s="25"/>
      <c r="H159" s="25"/>
      <c r="I159" s="25"/>
      <c r="J159" s="26"/>
      <c r="K159" s="26"/>
      <c r="L159" s="27"/>
      <c r="M159" s="25"/>
      <c r="N159" s="26"/>
      <c r="O159" s="29"/>
      <c r="P159" s="29"/>
      <c r="Q159" s="30" t="str">
        <f aca="true">IF(B159="","",TODAY()-B159)</f>
        <v/>
      </c>
      <c r="R159" s="27"/>
    </row>
    <row r="160" customFormat="false" ht="15" hidden="false" customHeight="false" outlineLevel="0" collapsed="false">
      <c r="A160" s="31" t="str">
        <f aca="false">IF(C160="","","L"&amp;TEXT(ROW()-2,"0000"))</f>
        <v/>
      </c>
      <c r="B160" s="32"/>
      <c r="C160" s="33"/>
      <c r="D160" s="33"/>
      <c r="E160" s="33"/>
      <c r="F160" s="34"/>
      <c r="G160" s="31"/>
      <c r="H160" s="31"/>
      <c r="I160" s="31"/>
      <c r="J160" s="32"/>
      <c r="K160" s="32"/>
      <c r="L160" s="33"/>
      <c r="M160" s="31"/>
      <c r="N160" s="32"/>
      <c r="O160" s="35"/>
      <c r="P160" s="35"/>
      <c r="Q160" s="36" t="str">
        <f aca="true">IF(B160="","",TODAY()-B160)</f>
        <v/>
      </c>
      <c r="R160" s="33"/>
    </row>
    <row r="161" customFormat="false" ht="15" hidden="false" customHeight="false" outlineLevel="0" collapsed="false">
      <c r="A161" s="25" t="str">
        <f aca="false">IF(C161="","","L"&amp;TEXT(ROW()-2,"0000"))</f>
        <v/>
      </c>
      <c r="B161" s="26"/>
      <c r="C161" s="27"/>
      <c r="D161" s="27"/>
      <c r="E161" s="27"/>
      <c r="F161" s="28"/>
      <c r="G161" s="25"/>
      <c r="H161" s="25"/>
      <c r="I161" s="25"/>
      <c r="J161" s="26"/>
      <c r="K161" s="26"/>
      <c r="L161" s="27"/>
      <c r="M161" s="25"/>
      <c r="N161" s="26"/>
      <c r="O161" s="29"/>
      <c r="P161" s="29"/>
      <c r="Q161" s="30" t="str">
        <f aca="true">IF(B161="","",TODAY()-B161)</f>
        <v/>
      </c>
      <c r="R161" s="27"/>
    </row>
    <row r="162" customFormat="false" ht="15" hidden="false" customHeight="false" outlineLevel="0" collapsed="false">
      <c r="A162" s="31" t="str">
        <f aca="false">IF(C162="","","L"&amp;TEXT(ROW()-2,"0000"))</f>
        <v/>
      </c>
      <c r="B162" s="32"/>
      <c r="C162" s="33"/>
      <c r="D162" s="33"/>
      <c r="E162" s="33"/>
      <c r="F162" s="34"/>
      <c r="G162" s="31"/>
      <c r="H162" s="31"/>
      <c r="I162" s="31"/>
      <c r="J162" s="32"/>
      <c r="K162" s="32"/>
      <c r="L162" s="33"/>
      <c r="M162" s="31"/>
      <c r="N162" s="32"/>
      <c r="O162" s="35"/>
      <c r="P162" s="35"/>
      <c r="Q162" s="36" t="str">
        <f aca="true">IF(B162="","",TODAY()-B162)</f>
        <v/>
      </c>
      <c r="R162" s="33"/>
    </row>
    <row r="163" customFormat="false" ht="15" hidden="false" customHeight="false" outlineLevel="0" collapsed="false">
      <c r="A163" s="25" t="str">
        <f aca="false">IF(C163="","","L"&amp;TEXT(ROW()-2,"0000"))</f>
        <v/>
      </c>
      <c r="B163" s="26"/>
      <c r="C163" s="27"/>
      <c r="D163" s="27"/>
      <c r="E163" s="27"/>
      <c r="F163" s="28"/>
      <c r="G163" s="25"/>
      <c r="H163" s="25"/>
      <c r="I163" s="25"/>
      <c r="J163" s="26"/>
      <c r="K163" s="26"/>
      <c r="L163" s="27"/>
      <c r="M163" s="25"/>
      <c r="N163" s="26"/>
      <c r="O163" s="29"/>
      <c r="P163" s="29"/>
      <c r="Q163" s="30" t="str">
        <f aca="true">IF(B163="","",TODAY()-B163)</f>
        <v/>
      </c>
      <c r="R163" s="27"/>
    </row>
    <row r="164" customFormat="false" ht="15" hidden="false" customHeight="false" outlineLevel="0" collapsed="false">
      <c r="A164" s="31" t="str">
        <f aca="false">IF(C164="","","L"&amp;TEXT(ROW()-2,"0000"))</f>
        <v/>
      </c>
      <c r="B164" s="32"/>
      <c r="C164" s="33"/>
      <c r="D164" s="33"/>
      <c r="E164" s="33"/>
      <c r="F164" s="34"/>
      <c r="G164" s="31"/>
      <c r="H164" s="31"/>
      <c r="I164" s="31"/>
      <c r="J164" s="32"/>
      <c r="K164" s="32"/>
      <c r="L164" s="33"/>
      <c r="M164" s="31"/>
      <c r="N164" s="32"/>
      <c r="O164" s="35"/>
      <c r="P164" s="35"/>
      <c r="Q164" s="36" t="str">
        <f aca="true">IF(B164="","",TODAY()-B164)</f>
        <v/>
      </c>
      <c r="R164" s="33"/>
    </row>
    <row r="165" customFormat="false" ht="15" hidden="false" customHeight="false" outlineLevel="0" collapsed="false">
      <c r="A165" s="25" t="str">
        <f aca="false">IF(C165="","","L"&amp;TEXT(ROW()-2,"0000"))</f>
        <v/>
      </c>
      <c r="B165" s="26"/>
      <c r="C165" s="27"/>
      <c r="D165" s="27"/>
      <c r="E165" s="27"/>
      <c r="F165" s="28"/>
      <c r="G165" s="25"/>
      <c r="H165" s="25"/>
      <c r="I165" s="25"/>
      <c r="J165" s="26"/>
      <c r="K165" s="26"/>
      <c r="L165" s="27"/>
      <c r="M165" s="25"/>
      <c r="N165" s="26"/>
      <c r="O165" s="29"/>
      <c r="P165" s="29"/>
      <c r="Q165" s="30" t="str">
        <f aca="true">IF(B165="","",TODAY()-B165)</f>
        <v/>
      </c>
      <c r="R165" s="27"/>
    </row>
    <row r="166" customFormat="false" ht="15" hidden="false" customHeight="false" outlineLevel="0" collapsed="false">
      <c r="A166" s="31" t="str">
        <f aca="false">IF(C166="","","L"&amp;TEXT(ROW()-2,"0000"))</f>
        <v/>
      </c>
      <c r="B166" s="32"/>
      <c r="C166" s="33"/>
      <c r="D166" s="33"/>
      <c r="E166" s="33"/>
      <c r="F166" s="34"/>
      <c r="G166" s="31"/>
      <c r="H166" s="31"/>
      <c r="I166" s="31"/>
      <c r="J166" s="32"/>
      <c r="K166" s="32"/>
      <c r="L166" s="33"/>
      <c r="M166" s="31"/>
      <c r="N166" s="32"/>
      <c r="O166" s="35"/>
      <c r="P166" s="35"/>
      <c r="Q166" s="36" t="str">
        <f aca="true">IF(B166="","",TODAY()-B166)</f>
        <v/>
      </c>
      <c r="R166" s="33"/>
    </row>
    <row r="167" customFormat="false" ht="15" hidden="false" customHeight="false" outlineLevel="0" collapsed="false">
      <c r="A167" s="25" t="str">
        <f aca="false">IF(C167="","","L"&amp;TEXT(ROW()-2,"0000"))</f>
        <v/>
      </c>
      <c r="B167" s="26"/>
      <c r="C167" s="27"/>
      <c r="D167" s="27"/>
      <c r="E167" s="27"/>
      <c r="F167" s="28"/>
      <c r="G167" s="25"/>
      <c r="H167" s="25"/>
      <c r="I167" s="25"/>
      <c r="J167" s="26"/>
      <c r="K167" s="26"/>
      <c r="L167" s="27"/>
      <c r="M167" s="25"/>
      <c r="N167" s="26"/>
      <c r="O167" s="29"/>
      <c r="P167" s="29"/>
      <c r="Q167" s="30" t="str">
        <f aca="true">IF(B167="","",TODAY()-B167)</f>
        <v/>
      </c>
      <c r="R167" s="27"/>
    </row>
    <row r="168" customFormat="false" ht="15" hidden="false" customHeight="false" outlineLevel="0" collapsed="false">
      <c r="A168" s="31" t="str">
        <f aca="false">IF(C168="","","L"&amp;TEXT(ROW()-2,"0000"))</f>
        <v/>
      </c>
      <c r="B168" s="32"/>
      <c r="C168" s="33"/>
      <c r="D168" s="33"/>
      <c r="E168" s="33"/>
      <c r="F168" s="34"/>
      <c r="G168" s="31"/>
      <c r="H168" s="31"/>
      <c r="I168" s="31"/>
      <c r="J168" s="32"/>
      <c r="K168" s="32"/>
      <c r="L168" s="33"/>
      <c r="M168" s="31"/>
      <c r="N168" s="32"/>
      <c r="O168" s="35"/>
      <c r="P168" s="35"/>
      <c r="Q168" s="36" t="str">
        <f aca="true">IF(B168="","",TODAY()-B168)</f>
        <v/>
      </c>
      <c r="R168" s="33"/>
    </row>
    <row r="169" customFormat="false" ht="15" hidden="false" customHeight="false" outlineLevel="0" collapsed="false">
      <c r="A169" s="25" t="str">
        <f aca="false">IF(C169="","","L"&amp;TEXT(ROW()-2,"0000"))</f>
        <v/>
      </c>
      <c r="B169" s="26"/>
      <c r="C169" s="27"/>
      <c r="D169" s="27"/>
      <c r="E169" s="27"/>
      <c r="F169" s="28"/>
      <c r="G169" s="25"/>
      <c r="H169" s="25"/>
      <c r="I169" s="25"/>
      <c r="J169" s="26"/>
      <c r="K169" s="26"/>
      <c r="L169" s="27"/>
      <c r="M169" s="25"/>
      <c r="N169" s="26"/>
      <c r="O169" s="29"/>
      <c r="P169" s="29"/>
      <c r="Q169" s="30" t="str">
        <f aca="true">IF(B169="","",TODAY()-B169)</f>
        <v/>
      </c>
      <c r="R169" s="27"/>
    </row>
    <row r="170" customFormat="false" ht="15" hidden="false" customHeight="false" outlineLevel="0" collapsed="false">
      <c r="A170" s="31" t="str">
        <f aca="false">IF(C170="","","L"&amp;TEXT(ROW()-2,"0000"))</f>
        <v/>
      </c>
      <c r="B170" s="32"/>
      <c r="C170" s="33"/>
      <c r="D170" s="33"/>
      <c r="E170" s="33"/>
      <c r="F170" s="34"/>
      <c r="G170" s="31"/>
      <c r="H170" s="31"/>
      <c r="I170" s="31"/>
      <c r="J170" s="32"/>
      <c r="K170" s="32"/>
      <c r="L170" s="33"/>
      <c r="M170" s="31"/>
      <c r="N170" s="32"/>
      <c r="O170" s="35"/>
      <c r="P170" s="35"/>
      <c r="Q170" s="36" t="str">
        <f aca="true">IF(B170="","",TODAY()-B170)</f>
        <v/>
      </c>
      <c r="R170" s="33"/>
    </row>
    <row r="171" customFormat="false" ht="15" hidden="false" customHeight="false" outlineLevel="0" collapsed="false">
      <c r="A171" s="25" t="str">
        <f aca="false">IF(C171="","","L"&amp;TEXT(ROW()-2,"0000"))</f>
        <v/>
      </c>
      <c r="B171" s="26"/>
      <c r="C171" s="27"/>
      <c r="D171" s="27"/>
      <c r="E171" s="27"/>
      <c r="F171" s="28"/>
      <c r="G171" s="25"/>
      <c r="H171" s="25"/>
      <c r="I171" s="25"/>
      <c r="J171" s="26"/>
      <c r="K171" s="26"/>
      <c r="L171" s="27"/>
      <c r="M171" s="25"/>
      <c r="N171" s="26"/>
      <c r="O171" s="29"/>
      <c r="P171" s="29"/>
      <c r="Q171" s="30" t="str">
        <f aca="true">IF(B171="","",TODAY()-B171)</f>
        <v/>
      </c>
      <c r="R171" s="27"/>
    </row>
    <row r="172" customFormat="false" ht="15" hidden="false" customHeight="false" outlineLevel="0" collapsed="false">
      <c r="A172" s="31" t="str">
        <f aca="false">IF(C172="","","L"&amp;TEXT(ROW()-2,"0000"))</f>
        <v/>
      </c>
      <c r="B172" s="32"/>
      <c r="C172" s="33"/>
      <c r="D172" s="33"/>
      <c r="E172" s="33"/>
      <c r="F172" s="34"/>
      <c r="G172" s="31"/>
      <c r="H172" s="31"/>
      <c r="I172" s="31"/>
      <c r="J172" s="32"/>
      <c r="K172" s="32"/>
      <c r="L172" s="33"/>
      <c r="M172" s="31"/>
      <c r="N172" s="32"/>
      <c r="O172" s="35"/>
      <c r="P172" s="35"/>
      <c r="Q172" s="36" t="str">
        <f aca="true">IF(B172="","",TODAY()-B172)</f>
        <v/>
      </c>
      <c r="R172" s="33"/>
    </row>
    <row r="173" customFormat="false" ht="15" hidden="false" customHeight="false" outlineLevel="0" collapsed="false">
      <c r="A173" s="25" t="str">
        <f aca="false">IF(C173="","","L"&amp;TEXT(ROW()-2,"0000"))</f>
        <v/>
      </c>
      <c r="B173" s="26"/>
      <c r="C173" s="27"/>
      <c r="D173" s="27"/>
      <c r="E173" s="27"/>
      <c r="F173" s="28"/>
      <c r="G173" s="25"/>
      <c r="H173" s="25"/>
      <c r="I173" s="25"/>
      <c r="J173" s="26"/>
      <c r="K173" s="26"/>
      <c r="L173" s="27"/>
      <c r="M173" s="25"/>
      <c r="N173" s="26"/>
      <c r="O173" s="29"/>
      <c r="P173" s="29"/>
      <c r="Q173" s="30" t="str">
        <f aca="true">IF(B173="","",TODAY()-B173)</f>
        <v/>
      </c>
      <c r="R173" s="27"/>
    </row>
    <row r="174" customFormat="false" ht="15" hidden="false" customHeight="false" outlineLevel="0" collapsed="false">
      <c r="A174" s="31" t="str">
        <f aca="false">IF(C174="","","L"&amp;TEXT(ROW()-2,"0000"))</f>
        <v/>
      </c>
      <c r="B174" s="32"/>
      <c r="C174" s="33"/>
      <c r="D174" s="33"/>
      <c r="E174" s="33"/>
      <c r="F174" s="34"/>
      <c r="G174" s="31"/>
      <c r="H174" s="31"/>
      <c r="I174" s="31"/>
      <c r="J174" s="32"/>
      <c r="K174" s="32"/>
      <c r="L174" s="33"/>
      <c r="M174" s="31"/>
      <c r="N174" s="32"/>
      <c r="O174" s="35"/>
      <c r="P174" s="35"/>
      <c r="Q174" s="36" t="str">
        <f aca="true">IF(B174="","",TODAY()-B174)</f>
        <v/>
      </c>
      <c r="R174" s="33"/>
    </row>
    <row r="175" customFormat="false" ht="15" hidden="false" customHeight="false" outlineLevel="0" collapsed="false">
      <c r="A175" s="25" t="str">
        <f aca="false">IF(C175="","","L"&amp;TEXT(ROW()-2,"0000"))</f>
        <v/>
      </c>
      <c r="B175" s="26"/>
      <c r="C175" s="27"/>
      <c r="D175" s="27"/>
      <c r="E175" s="27"/>
      <c r="F175" s="28"/>
      <c r="G175" s="25"/>
      <c r="H175" s="25"/>
      <c r="I175" s="25"/>
      <c r="J175" s="26"/>
      <c r="K175" s="26"/>
      <c r="L175" s="27"/>
      <c r="M175" s="25"/>
      <c r="N175" s="26"/>
      <c r="O175" s="29"/>
      <c r="P175" s="29"/>
      <c r="Q175" s="30" t="str">
        <f aca="true">IF(B175="","",TODAY()-B175)</f>
        <v/>
      </c>
      <c r="R175" s="27"/>
    </row>
    <row r="176" customFormat="false" ht="15" hidden="false" customHeight="false" outlineLevel="0" collapsed="false">
      <c r="A176" s="31" t="str">
        <f aca="false">IF(C176="","","L"&amp;TEXT(ROW()-2,"0000"))</f>
        <v/>
      </c>
      <c r="B176" s="32"/>
      <c r="C176" s="33"/>
      <c r="D176" s="33"/>
      <c r="E176" s="33"/>
      <c r="F176" s="34"/>
      <c r="G176" s="31"/>
      <c r="H176" s="31"/>
      <c r="I176" s="31"/>
      <c r="J176" s="32"/>
      <c r="K176" s="32"/>
      <c r="L176" s="33"/>
      <c r="M176" s="31"/>
      <c r="N176" s="32"/>
      <c r="O176" s="35"/>
      <c r="P176" s="35"/>
      <c r="Q176" s="36" t="str">
        <f aca="true">IF(B176="","",TODAY()-B176)</f>
        <v/>
      </c>
      <c r="R176" s="33"/>
    </row>
    <row r="177" customFormat="false" ht="15" hidden="false" customHeight="false" outlineLevel="0" collapsed="false">
      <c r="A177" s="25" t="str">
        <f aca="false">IF(C177="","","L"&amp;TEXT(ROW()-2,"0000"))</f>
        <v/>
      </c>
      <c r="B177" s="26"/>
      <c r="C177" s="27"/>
      <c r="D177" s="27"/>
      <c r="E177" s="27"/>
      <c r="F177" s="28"/>
      <c r="G177" s="25"/>
      <c r="H177" s="25"/>
      <c r="I177" s="25"/>
      <c r="J177" s="26"/>
      <c r="K177" s="26"/>
      <c r="L177" s="27"/>
      <c r="M177" s="25"/>
      <c r="N177" s="26"/>
      <c r="O177" s="29"/>
      <c r="P177" s="29"/>
      <c r="Q177" s="30" t="str">
        <f aca="true">IF(B177="","",TODAY()-B177)</f>
        <v/>
      </c>
      <c r="R177" s="27"/>
    </row>
    <row r="178" customFormat="false" ht="15" hidden="false" customHeight="false" outlineLevel="0" collapsed="false">
      <c r="A178" s="31" t="str">
        <f aca="false">IF(C178="","","L"&amp;TEXT(ROW()-2,"0000"))</f>
        <v/>
      </c>
      <c r="B178" s="32"/>
      <c r="C178" s="33"/>
      <c r="D178" s="33"/>
      <c r="E178" s="33"/>
      <c r="F178" s="34"/>
      <c r="G178" s="31"/>
      <c r="H178" s="31"/>
      <c r="I178" s="31"/>
      <c r="J178" s="32"/>
      <c r="K178" s="32"/>
      <c r="L178" s="33"/>
      <c r="M178" s="31"/>
      <c r="N178" s="32"/>
      <c r="O178" s="35"/>
      <c r="P178" s="35"/>
      <c r="Q178" s="36" t="str">
        <f aca="true">IF(B178="","",TODAY()-B178)</f>
        <v/>
      </c>
      <c r="R178" s="33"/>
    </row>
    <row r="179" customFormat="false" ht="15" hidden="false" customHeight="false" outlineLevel="0" collapsed="false">
      <c r="A179" s="25" t="str">
        <f aca="false">IF(C179="","","L"&amp;TEXT(ROW()-2,"0000"))</f>
        <v/>
      </c>
      <c r="B179" s="26"/>
      <c r="C179" s="27"/>
      <c r="D179" s="27"/>
      <c r="E179" s="27"/>
      <c r="F179" s="28"/>
      <c r="G179" s="25"/>
      <c r="H179" s="25"/>
      <c r="I179" s="25"/>
      <c r="J179" s="26"/>
      <c r="K179" s="26"/>
      <c r="L179" s="27"/>
      <c r="M179" s="25"/>
      <c r="N179" s="26"/>
      <c r="O179" s="29"/>
      <c r="P179" s="29"/>
      <c r="Q179" s="30" t="str">
        <f aca="true">IF(B179="","",TODAY()-B179)</f>
        <v/>
      </c>
      <c r="R179" s="27"/>
    </row>
    <row r="180" customFormat="false" ht="15" hidden="false" customHeight="false" outlineLevel="0" collapsed="false">
      <c r="A180" s="31" t="str">
        <f aca="false">IF(C180="","","L"&amp;TEXT(ROW()-2,"0000"))</f>
        <v/>
      </c>
      <c r="B180" s="32"/>
      <c r="C180" s="33"/>
      <c r="D180" s="33"/>
      <c r="E180" s="33"/>
      <c r="F180" s="34"/>
      <c r="G180" s="31"/>
      <c r="H180" s="31"/>
      <c r="I180" s="31"/>
      <c r="J180" s="32"/>
      <c r="K180" s="32"/>
      <c r="L180" s="33"/>
      <c r="M180" s="31"/>
      <c r="N180" s="32"/>
      <c r="O180" s="35"/>
      <c r="P180" s="35"/>
      <c r="Q180" s="36" t="str">
        <f aca="true">IF(B180="","",TODAY()-B180)</f>
        <v/>
      </c>
      <c r="R180" s="33"/>
    </row>
    <row r="181" customFormat="false" ht="15" hidden="false" customHeight="false" outlineLevel="0" collapsed="false">
      <c r="A181" s="25" t="str">
        <f aca="false">IF(C181="","","L"&amp;TEXT(ROW()-2,"0000"))</f>
        <v/>
      </c>
      <c r="B181" s="26"/>
      <c r="C181" s="27"/>
      <c r="D181" s="27"/>
      <c r="E181" s="27"/>
      <c r="F181" s="28"/>
      <c r="G181" s="25"/>
      <c r="H181" s="25"/>
      <c r="I181" s="25"/>
      <c r="J181" s="26"/>
      <c r="K181" s="26"/>
      <c r="L181" s="27"/>
      <c r="M181" s="25"/>
      <c r="N181" s="26"/>
      <c r="O181" s="29"/>
      <c r="P181" s="29"/>
      <c r="Q181" s="30" t="str">
        <f aca="true">IF(B181="","",TODAY()-B181)</f>
        <v/>
      </c>
      <c r="R181" s="27"/>
    </row>
    <row r="182" customFormat="false" ht="15" hidden="false" customHeight="false" outlineLevel="0" collapsed="false">
      <c r="A182" s="31" t="str">
        <f aca="false">IF(C182="","","L"&amp;TEXT(ROW()-2,"0000"))</f>
        <v/>
      </c>
      <c r="B182" s="32"/>
      <c r="C182" s="33"/>
      <c r="D182" s="33"/>
      <c r="E182" s="33"/>
      <c r="F182" s="34"/>
      <c r="G182" s="31"/>
      <c r="H182" s="31"/>
      <c r="I182" s="31"/>
      <c r="J182" s="32"/>
      <c r="K182" s="32"/>
      <c r="L182" s="33"/>
      <c r="M182" s="31"/>
      <c r="N182" s="32"/>
      <c r="O182" s="35"/>
      <c r="P182" s="35"/>
      <c r="Q182" s="36" t="str">
        <f aca="true">IF(B182="","",TODAY()-B182)</f>
        <v/>
      </c>
      <c r="R182" s="33"/>
    </row>
    <row r="183" customFormat="false" ht="15" hidden="false" customHeight="false" outlineLevel="0" collapsed="false">
      <c r="A183" s="25" t="str">
        <f aca="false">IF(C183="","","L"&amp;TEXT(ROW()-2,"0000"))</f>
        <v/>
      </c>
      <c r="B183" s="26"/>
      <c r="C183" s="27"/>
      <c r="D183" s="27"/>
      <c r="E183" s="27"/>
      <c r="F183" s="28"/>
      <c r="G183" s="25"/>
      <c r="H183" s="25"/>
      <c r="I183" s="25"/>
      <c r="J183" s="26"/>
      <c r="K183" s="26"/>
      <c r="L183" s="27"/>
      <c r="M183" s="25"/>
      <c r="N183" s="26"/>
      <c r="O183" s="29"/>
      <c r="P183" s="29"/>
      <c r="Q183" s="30" t="str">
        <f aca="true">IF(B183="","",TODAY()-B183)</f>
        <v/>
      </c>
      <c r="R183" s="27"/>
    </row>
    <row r="184" customFormat="false" ht="15" hidden="false" customHeight="false" outlineLevel="0" collapsed="false">
      <c r="A184" s="31" t="str">
        <f aca="false">IF(C184="","","L"&amp;TEXT(ROW()-2,"0000"))</f>
        <v/>
      </c>
      <c r="B184" s="32"/>
      <c r="C184" s="33"/>
      <c r="D184" s="33"/>
      <c r="E184" s="33"/>
      <c r="F184" s="34"/>
      <c r="G184" s="31"/>
      <c r="H184" s="31"/>
      <c r="I184" s="31"/>
      <c r="J184" s="32"/>
      <c r="K184" s="32"/>
      <c r="L184" s="33"/>
      <c r="M184" s="31"/>
      <c r="N184" s="32"/>
      <c r="O184" s="35"/>
      <c r="P184" s="35"/>
      <c r="Q184" s="36" t="str">
        <f aca="true">IF(B184="","",TODAY()-B184)</f>
        <v/>
      </c>
      <c r="R184" s="33"/>
    </row>
    <row r="185" customFormat="false" ht="15" hidden="false" customHeight="false" outlineLevel="0" collapsed="false">
      <c r="A185" s="25" t="str">
        <f aca="false">IF(C185="","","L"&amp;TEXT(ROW()-2,"0000"))</f>
        <v/>
      </c>
      <c r="B185" s="26"/>
      <c r="C185" s="27"/>
      <c r="D185" s="27"/>
      <c r="E185" s="27"/>
      <c r="F185" s="28"/>
      <c r="G185" s="25"/>
      <c r="H185" s="25"/>
      <c r="I185" s="25"/>
      <c r="J185" s="26"/>
      <c r="K185" s="26"/>
      <c r="L185" s="27"/>
      <c r="M185" s="25"/>
      <c r="N185" s="26"/>
      <c r="O185" s="29"/>
      <c r="P185" s="29"/>
      <c r="Q185" s="30" t="str">
        <f aca="true">IF(B185="","",TODAY()-B185)</f>
        <v/>
      </c>
      <c r="R185" s="27"/>
    </row>
    <row r="186" customFormat="false" ht="15" hidden="false" customHeight="false" outlineLevel="0" collapsed="false">
      <c r="A186" s="31" t="str">
        <f aca="false">IF(C186="","","L"&amp;TEXT(ROW()-2,"0000"))</f>
        <v/>
      </c>
      <c r="B186" s="32"/>
      <c r="C186" s="33"/>
      <c r="D186" s="33"/>
      <c r="E186" s="33"/>
      <c r="F186" s="34"/>
      <c r="G186" s="31"/>
      <c r="H186" s="31"/>
      <c r="I186" s="31"/>
      <c r="J186" s="32"/>
      <c r="K186" s="32"/>
      <c r="L186" s="33"/>
      <c r="M186" s="31"/>
      <c r="N186" s="32"/>
      <c r="O186" s="35"/>
      <c r="P186" s="35"/>
      <c r="Q186" s="36" t="str">
        <f aca="true">IF(B186="","",TODAY()-B186)</f>
        <v/>
      </c>
      <c r="R186" s="33"/>
    </row>
    <row r="187" customFormat="false" ht="15" hidden="false" customHeight="false" outlineLevel="0" collapsed="false">
      <c r="A187" s="25" t="str">
        <f aca="false">IF(C187="","","L"&amp;TEXT(ROW()-2,"0000"))</f>
        <v/>
      </c>
      <c r="B187" s="26"/>
      <c r="C187" s="27"/>
      <c r="D187" s="27"/>
      <c r="E187" s="27"/>
      <c r="F187" s="28"/>
      <c r="G187" s="25"/>
      <c r="H187" s="25"/>
      <c r="I187" s="25"/>
      <c r="J187" s="26"/>
      <c r="K187" s="26"/>
      <c r="L187" s="27"/>
      <c r="M187" s="25"/>
      <c r="N187" s="26"/>
      <c r="O187" s="29"/>
      <c r="P187" s="29"/>
      <c r="Q187" s="30" t="str">
        <f aca="true">IF(B187="","",TODAY()-B187)</f>
        <v/>
      </c>
      <c r="R187" s="27"/>
    </row>
    <row r="188" customFormat="false" ht="15" hidden="false" customHeight="false" outlineLevel="0" collapsed="false">
      <c r="A188" s="31" t="str">
        <f aca="false">IF(C188="","","L"&amp;TEXT(ROW()-2,"0000"))</f>
        <v/>
      </c>
      <c r="B188" s="32"/>
      <c r="C188" s="33"/>
      <c r="D188" s="33"/>
      <c r="E188" s="33"/>
      <c r="F188" s="34"/>
      <c r="G188" s="31"/>
      <c r="H188" s="31"/>
      <c r="I188" s="31"/>
      <c r="J188" s="32"/>
      <c r="K188" s="32"/>
      <c r="L188" s="33"/>
      <c r="M188" s="31"/>
      <c r="N188" s="32"/>
      <c r="O188" s="35"/>
      <c r="P188" s="35"/>
      <c r="Q188" s="36" t="str">
        <f aca="true">IF(B188="","",TODAY()-B188)</f>
        <v/>
      </c>
      <c r="R188" s="33"/>
    </row>
    <row r="189" customFormat="false" ht="15" hidden="false" customHeight="false" outlineLevel="0" collapsed="false">
      <c r="A189" s="25" t="str">
        <f aca="false">IF(C189="","","L"&amp;TEXT(ROW()-2,"0000"))</f>
        <v/>
      </c>
      <c r="B189" s="26"/>
      <c r="C189" s="27"/>
      <c r="D189" s="27"/>
      <c r="E189" s="27"/>
      <c r="F189" s="28"/>
      <c r="G189" s="25"/>
      <c r="H189" s="25"/>
      <c r="I189" s="25"/>
      <c r="J189" s="26"/>
      <c r="K189" s="26"/>
      <c r="L189" s="27"/>
      <c r="M189" s="25"/>
      <c r="N189" s="26"/>
      <c r="O189" s="29"/>
      <c r="P189" s="29"/>
      <c r="Q189" s="30" t="str">
        <f aca="true">IF(B189="","",TODAY()-B189)</f>
        <v/>
      </c>
      <c r="R189" s="27"/>
    </row>
    <row r="190" customFormat="false" ht="15" hidden="false" customHeight="false" outlineLevel="0" collapsed="false">
      <c r="A190" s="31" t="str">
        <f aca="false">IF(C190="","","L"&amp;TEXT(ROW()-2,"0000"))</f>
        <v/>
      </c>
      <c r="B190" s="32"/>
      <c r="C190" s="33"/>
      <c r="D190" s="33"/>
      <c r="E190" s="33"/>
      <c r="F190" s="34"/>
      <c r="G190" s="31"/>
      <c r="H190" s="31"/>
      <c r="I190" s="31"/>
      <c r="J190" s="32"/>
      <c r="K190" s="32"/>
      <c r="L190" s="33"/>
      <c r="M190" s="31"/>
      <c r="N190" s="32"/>
      <c r="O190" s="35"/>
      <c r="P190" s="35"/>
      <c r="Q190" s="36" t="str">
        <f aca="true">IF(B190="","",TODAY()-B190)</f>
        <v/>
      </c>
      <c r="R190" s="33"/>
    </row>
    <row r="191" customFormat="false" ht="15" hidden="false" customHeight="false" outlineLevel="0" collapsed="false">
      <c r="A191" s="25" t="str">
        <f aca="false">IF(C191="","","L"&amp;TEXT(ROW()-2,"0000"))</f>
        <v/>
      </c>
      <c r="B191" s="26"/>
      <c r="C191" s="27"/>
      <c r="D191" s="27"/>
      <c r="E191" s="27"/>
      <c r="F191" s="28"/>
      <c r="G191" s="25"/>
      <c r="H191" s="25"/>
      <c r="I191" s="25"/>
      <c r="J191" s="26"/>
      <c r="K191" s="26"/>
      <c r="L191" s="27"/>
      <c r="M191" s="25"/>
      <c r="N191" s="26"/>
      <c r="O191" s="29"/>
      <c r="P191" s="29"/>
      <c r="Q191" s="30" t="str">
        <f aca="true">IF(B191="","",TODAY()-B191)</f>
        <v/>
      </c>
      <c r="R191" s="27"/>
    </row>
    <row r="192" customFormat="false" ht="15" hidden="false" customHeight="false" outlineLevel="0" collapsed="false">
      <c r="A192" s="31" t="str">
        <f aca="false">IF(C192="","","L"&amp;TEXT(ROW()-2,"0000"))</f>
        <v/>
      </c>
      <c r="B192" s="32"/>
      <c r="C192" s="33"/>
      <c r="D192" s="33"/>
      <c r="E192" s="33"/>
      <c r="F192" s="34"/>
      <c r="G192" s="31"/>
      <c r="H192" s="31"/>
      <c r="I192" s="31"/>
      <c r="J192" s="32"/>
      <c r="K192" s="32"/>
      <c r="L192" s="33"/>
      <c r="M192" s="31"/>
      <c r="N192" s="32"/>
      <c r="O192" s="35"/>
      <c r="P192" s="35"/>
      <c r="Q192" s="36" t="str">
        <f aca="true">IF(B192="","",TODAY()-B192)</f>
        <v/>
      </c>
      <c r="R192" s="33"/>
    </row>
    <row r="193" customFormat="false" ht="15" hidden="false" customHeight="false" outlineLevel="0" collapsed="false">
      <c r="A193" s="25" t="str">
        <f aca="false">IF(C193="","","L"&amp;TEXT(ROW()-2,"0000"))</f>
        <v/>
      </c>
      <c r="B193" s="26"/>
      <c r="C193" s="27"/>
      <c r="D193" s="27"/>
      <c r="E193" s="27"/>
      <c r="F193" s="28"/>
      <c r="G193" s="25"/>
      <c r="H193" s="25"/>
      <c r="I193" s="25"/>
      <c r="J193" s="26"/>
      <c r="K193" s="26"/>
      <c r="L193" s="27"/>
      <c r="M193" s="25"/>
      <c r="N193" s="26"/>
      <c r="O193" s="29"/>
      <c r="P193" s="29"/>
      <c r="Q193" s="30" t="str">
        <f aca="true">IF(B193="","",TODAY()-B193)</f>
        <v/>
      </c>
      <c r="R193" s="27"/>
    </row>
    <row r="194" customFormat="false" ht="15" hidden="false" customHeight="false" outlineLevel="0" collapsed="false">
      <c r="A194" s="31" t="str">
        <f aca="false">IF(C194="","","L"&amp;TEXT(ROW()-2,"0000"))</f>
        <v/>
      </c>
      <c r="B194" s="32"/>
      <c r="C194" s="33"/>
      <c r="D194" s="33"/>
      <c r="E194" s="33"/>
      <c r="F194" s="34"/>
      <c r="G194" s="31"/>
      <c r="H194" s="31"/>
      <c r="I194" s="31"/>
      <c r="J194" s="32"/>
      <c r="K194" s="32"/>
      <c r="L194" s="33"/>
      <c r="M194" s="31"/>
      <c r="N194" s="32"/>
      <c r="O194" s="35"/>
      <c r="P194" s="35"/>
      <c r="Q194" s="36" t="str">
        <f aca="true">IF(B194="","",TODAY()-B194)</f>
        <v/>
      </c>
      <c r="R194" s="33"/>
    </row>
    <row r="195" customFormat="false" ht="15" hidden="false" customHeight="false" outlineLevel="0" collapsed="false">
      <c r="A195" s="25" t="str">
        <f aca="false">IF(C195="","","L"&amp;TEXT(ROW()-2,"0000"))</f>
        <v/>
      </c>
      <c r="B195" s="26"/>
      <c r="C195" s="27"/>
      <c r="D195" s="27"/>
      <c r="E195" s="27"/>
      <c r="F195" s="28"/>
      <c r="G195" s="25"/>
      <c r="H195" s="25"/>
      <c r="I195" s="25"/>
      <c r="J195" s="26"/>
      <c r="K195" s="26"/>
      <c r="L195" s="27"/>
      <c r="M195" s="25"/>
      <c r="N195" s="26"/>
      <c r="O195" s="29"/>
      <c r="P195" s="29"/>
      <c r="Q195" s="30" t="str">
        <f aca="true">IF(B195="","",TODAY()-B195)</f>
        <v/>
      </c>
      <c r="R195" s="27"/>
    </row>
    <row r="196" customFormat="false" ht="15" hidden="false" customHeight="false" outlineLevel="0" collapsed="false">
      <c r="A196" s="31" t="str">
        <f aca="false">IF(C196="","","L"&amp;TEXT(ROW()-2,"0000"))</f>
        <v/>
      </c>
      <c r="B196" s="32"/>
      <c r="C196" s="33"/>
      <c r="D196" s="33"/>
      <c r="E196" s="33"/>
      <c r="F196" s="34"/>
      <c r="G196" s="31"/>
      <c r="H196" s="31"/>
      <c r="I196" s="31"/>
      <c r="J196" s="32"/>
      <c r="K196" s="32"/>
      <c r="L196" s="33"/>
      <c r="M196" s="31"/>
      <c r="N196" s="32"/>
      <c r="O196" s="35"/>
      <c r="P196" s="35"/>
      <c r="Q196" s="36" t="str">
        <f aca="true">IF(B196="","",TODAY()-B196)</f>
        <v/>
      </c>
      <c r="R196" s="33"/>
    </row>
    <row r="197" customFormat="false" ht="15" hidden="false" customHeight="false" outlineLevel="0" collapsed="false">
      <c r="A197" s="25" t="str">
        <f aca="false">IF(C197="","","L"&amp;TEXT(ROW()-2,"0000"))</f>
        <v/>
      </c>
      <c r="B197" s="26"/>
      <c r="C197" s="27"/>
      <c r="D197" s="27"/>
      <c r="E197" s="27"/>
      <c r="F197" s="28"/>
      <c r="G197" s="25"/>
      <c r="H197" s="25"/>
      <c r="I197" s="25"/>
      <c r="J197" s="26"/>
      <c r="K197" s="26"/>
      <c r="L197" s="27"/>
      <c r="M197" s="25"/>
      <c r="N197" s="26"/>
      <c r="O197" s="29"/>
      <c r="P197" s="29"/>
      <c r="Q197" s="30" t="str">
        <f aca="true">IF(B197="","",TODAY()-B197)</f>
        <v/>
      </c>
      <c r="R197" s="27"/>
    </row>
    <row r="198" customFormat="false" ht="15" hidden="false" customHeight="false" outlineLevel="0" collapsed="false">
      <c r="A198" s="31" t="str">
        <f aca="false">IF(C198="","","L"&amp;TEXT(ROW()-2,"0000"))</f>
        <v/>
      </c>
      <c r="B198" s="32"/>
      <c r="C198" s="33"/>
      <c r="D198" s="33"/>
      <c r="E198" s="33"/>
      <c r="F198" s="34"/>
      <c r="G198" s="31"/>
      <c r="H198" s="31"/>
      <c r="I198" s="31"/>
      <c r="J198" s="32"/>
      <c r="K198" s="32"/>
      <c r="L198" s="33"/>
      <c r="M198" s="31"/>
      <c r="N198" s="32"/>
      <c r="O198" s="35"/>
      <c r="P198" s="35"/>
      <c r="Q198" s="36" t="str">
        <f aca="true">IF(B198="","",TODAY()-B198)</f>
        <v/>
      </c>
      <c r="R198" s="33"/>
    </row>
    <row r="199" customFormat="false" ht="15" hidden="false" customHeight="false" outlineLevel="0" collapsed="false">
      <c r="A199" s="25" t="str">
        <f aca="false">IF(C199="","","L"&amp;TEXT(ROW()-2,"0000"))</f>
        <v/>
      </c>
      <c r="B199" s="26"/>
      <c r="C199" s="27"/>
      <c r="D199" s="27"/>
      <c r="E199" s="27"/>
      <c r="F199" s="28"/>
      <c r="G199" s="25"/>
      <c r="H199" s="25"/>
      <c r="I199" s="25"/>
      <c r="J199" s="26"/>
      <c r="K199" s="26"/>
      <c r="L199" s="27"/>
      <c r="M199" s="25"/>
      <c r="N199" s="26"/>
      <c r="O199" s="29"/>
      <c r="P199" s="29"/>
      <c r="Q199" s="30" t="str">
        <f aca="true">IF(B199="","",TODAY()-B199)</f>
        <v/>
      </c>
      <c r="R199" s="27"/>
    </row>
    <row r="200" customFormat="false" ht="15" hidden="false" customHeight="false" outlineLevel="0" collapsed="false">
      <c r="A200" s="31" t="str">
        <f aca="false">IF(C200="","","L"&amp;TEXT(ROW()-2,"0000"))</f>
        <v/>
      </c>
      <c r="B200" s="32"/>
      <c r="C200" s="33"/>
      <c r="D200" s="33"/>
      <c r="E200" s="33"/>
      <c r="F200" s="34"/>
      <c r="G200" s="31"/>
      <c r="H200" s="31"/>
      <c r="I200" s="31"/>
      <c r="J200" s="32"/>
      <c r="K200" s="32"/>
      <c r="L200" s="33"/>
      <c r="M200" s="31"/>
      <c r="N200" s="32"/>
      <c r="O200" s="35"/>
      <c r="P200" s="35"/>
      <c r="Q200" s="36" t="str">
        <f aca="true">IF(B200="","",TODAY()-B200)</f>
        <v/>
      </c>
      <c r="R200" s="33"/>
    </row>
  </sheetData>
  <autoFilter ref="A2:R200"/>
  <mergeCells count="1">
    <mergeCell ref="A1:R1"/>
  </mergeCells>
  <conditionalFormatting sqref="I3:I200">
    <cfRule type="cellIs" priority="2" operator="equal" aboveAverage="0" equalAverage="0" bottom="0" percent="0" rank="0" text="" dxfId="8">
      <formula>"Fresh"</formula>
    </cfRule>
    <cfRule type="cellIs" priority="3" operator="equal" aboveAverage="0" equalAverage="0" bottom="0" percent="0" rank="0" text="" dxfId="9">
      <formula>"Contacted"</formula>
    </cfRule>
    <cfRule type="cellIs" priority="4" operator="equal" aboveAverage="0" equalAverage="0" bottom="0" percent="0" rank="0" text="" dxfId="10">
      <formula>"No Response"</formula>
    </cfRule>
    <cfRule type="cellIs" priority="5" operator="equal" aboveAverage="0" equalAverage="0" bottom="0" percent="0" rank="0" text="" dxfId="11">
      <formula>"Interested"</formula>
    </cfRule>
    <cfRule type="cellIs" priority="6" operator="equal" aboveAverage="0" equalAverage="0" bottom="0" percent="0" rank="0" text="" dxfId="12">
      <formula>"Demo Class Scheduled"</formula>
    </cfRule>
    <cfRule type="cellIs" priority="7" operator="equal" aboveAverage="0" equalAverage="0" bottom="0" percent="0" rank="0" text="" dxfId="13">
      <formula>"Counselling Booked"</formula>
    </cfRule>
    <cfRule type="cellIs" priority="8" operator="equal" aboveAverage="0" equalAverage="0" bottom="0" percent="0" rank="0" text="" dxfId="14">
      <formula>"Counselling Done"</formula>
    </cfRule>
    <cfRule type="cellIs" priority="9" operator="equal" aboveAverage="0" equalAverage="0" bottom="0" percent="0" rank="0" text="" dxfId="15">
      <formula>"Negotiation"</formula>
    </cfRule>
    <cfRule type="cellIs" priority="10" operator="equal" aboveAverage="0" equalAverage="0" bottom="0" percent="0" rank="0" text="" dxfId="16">
      <formula>"Admitted"</formula>
    </cfRule>
    <cfRule type="cellIs" priority="11" operator="equal" aboveAverage="0" equalAverage="0" bottom="0" percent="0" rank="0" text="" dxfId="17">
      <formula>"Not Interested"</formula>
    </cfRule>
    <cfRule type="cellIs" priority="12" operator="equal" aboveAverage="0" equalAverage="0" bottom="0" percent="0" rank="0" text="" dxfId="18">
      <formula>"Lost"</formula>
    </cfRule>
  </conditionalFormatting>
  <conditionalFormatting sqref="K3:K200">
    <cfRule type="expression" priority="13" aboveAverage="0" equalAverage="0" bottom="0" percent="0" rank="0" text="" dxfId="19">
      <formula>AND($K3&lt;&gt;"",$K3&lt;TODAY(),$I3&lt;&gt;"Admitted",$I3&lt;&gt;"Lost",$I3&lt;&gt;"Not Interested")</formula>
    </cfRule>
    <cfRule type="expression" priority="14" aboveAverage="0" equalAverage="0" bottom="0" percent="0" rank="0" text="" dxfId="20">
      <formula>AND($K3&lt;&gt;"",$K3=TODAY(),$I3&lt;&gt;"Admitted",$I3&lt;&gt;"Lost",$I3&lt;&gt;"Not Interested")</formula>
    </cfRule>
  </conditionalFormatting>
  <conditionalFormatting sqref="Q3:Q200">
    <cfRule type="expression" priority="15" aboveAverage="0" equalAverage="0" bottom="0" percent="0" rank="0" text="" dxfId="21">
      <formula>AND($Q3&lt;&gt;"",$Q3&gt;14,$I3&lt;&gt;"Admitted",$I3&lt;&gt;"Lost",$I3&lt;&gt;"Not Interested")</formula>
    </cfRule>
  </conditionalFormatting>
  <dataValidations count="6">
    <dataValidation allowBlank="true" error="Please select a valid source" errorStyle="stop" errorTitle="Invalid source" operator="between" prompt="Choose lead source" promptTitle="Source" showDropDown="false" showErrorMessage="false" showInputMessage="false" sqref="E3:E200" type="list">
      <formula1>"Walk-in,Phone Enquiry,Instagram / Facebook,WhatsApp / Broadcast,Website Form,Referral (Parent),Referral (Student),School Visit / Outreach,Newspaper / Leaflet,Other"</formula1>
      <formula2>0</formula2>
    </dataValidation>
    <dataValidation allowBlank="true" errorStyle="stop" operator="between" prompt="Choose class / stream" showDropDown="false" showErrorMessage="false" showInputMessage="false" sqref="G3:G200" type="list">
      <formula1>"Class IX Foundation,Class X Foundation,Class XI PCM (JEE),Class XI PCB (NEET),Class XI PCMB,Class XII PCM (JEE),Class XII PCB (NEET),Class XII PCMB,Class XII MHT-CET PCM,Class XII MHT-CET PCB,Repeater NEET,Repeater JEE,Other"</formula1>
      <formula2>0</formula2>
    </dataValidation>
    <dataValidation allowBlank="true" errorStyle="stop" operator="between" prompt="Assign to caller" showDropDown="false" showErrorMessage="false" showInputMessage="false" sqref="H3:H200" type="list">
      <formula1>"Anjali,Samiksha,Unassigned"</formula1>
      <formula2>0</formula2>
    </dataValidation>
    <dataValidation allowBlank="true" error="Please select a valid status" errorStyle="stop" errorTitle="Invalid status" operator="between" prompt="Lead status — Fresh → Contacted → Interested → Counselling Booked → Counselling Done → Admitted" promptTitle="Status flow" showDropDown="false" showErrorMessage="false" showInputMessage="false" sqref="I3:I200" type="list">
      <formula1>"Fresh,Contacted,No Response,Interested,Demo Class Scheduled,Counselling Booked,Counselling Done,Negotiation,Admitted,Not Interested,Lost"</formula1>
      <formula2>0</formula2>
    </dataValidation>
    <dataValidation allowBlank="true" errorStyle="stop" operator="between" prompt="Counsellor assigned" showDropDown="false" showErrorMessage="false" showInputMessage="false" sqref="M3:M200" type="list">
      <formula1>"Madhu"</formula1>
      <formula2>0</formula2>
    </dataValidation>
    <dataValidation allowBlank="true" errorStyle="stop" operator="between" prompt="Pick from list or type your own" showDropDown="false" showErrorMessage="false" showInputMessage="false" sqref="L3:L200" type="list">
      <formula1>"First call,Follow-up call,Send fee structure on WhatsApp,Send brochure,Confirm counselling slot,Schedule demo class,Counselling reminder,Fee payment follow-up,Reschedule call,Send admission form,Parent meeting"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24" t="s">
        <v>80</v>
      </c>
      <c r="B1" s="24"/>
      <c r="C1" s="24"/>
      <c r="D1" s="24"/>
      <c r="E1" s="24"/>
      <c r="F1" s="24"/>
      <c r="G1" s="24"/>
      <c r="H1" s="24"/>
    </row>
    <row r="2" customFormat="false" ht="19.5" hidden="false" customHeight="true" outlineLevel="0" collapsed="false">
      <c r="A2" s="37" t="s">
        <v>81</v>
      </c>
      <c r="B2" s="37"/>
      <c r="C2" s="37"/>
      <c r="D2" s="37"/>
      <c r="E2" s="37"/>
      <c r="F2" s="37"/>
      <c r="G2" s="37"/>
      <c r="H2" s="37"/>
    </row>
    <row r="3" customFormat="false" ht="31.5" hidden="false" customHeight="true" outlineLevel="0" collapsed="false">
      <c r="A3" s="8" t="s">
        <v>82</v>
      </c>
      <c r="B3" s="8" t="s">
        <v>83</v>
      </c>
      <c r="C3" s="8" t="s">
        <v>84</v>
      </c>
      <c r="D3" s="8" t="s">
        <v>40</v>
      </c>
      <c r="E3" s="8" t="s">
        <v>85</v>
      </c>
      <c r="F3" s="8" t="s">
        <v>45</v>
      </c>
      <c r="G3" s="8" t="s">
        <v>86</v>
      </c>
      <c r="H3" s="8" t="s">
        <v>87</v>
      </c>
    </row>
    <row r="4" customFormat="false" ht="15" hidden="false" customHeight="false" outlineLevel="0" collapsed="false">
      <c r="A4" s="25" t="n">
        <v>1</v>
      </c>
      <c r="B4" s="38" t="n">
        <v>46162</v>
      </c>
      <c r="C4" s="25" t="s">
        <v>88</v>
      </c>
      <c r="D4" s="25" t="s">
        <v>57</v>
      </c>
      <c r="E4" s="25" t="s">
        <v>89</v>
      </c>
      <c r="F4" s="25" t="s">
        <v>61</v>
      </c>
      <c r="G4" s="25" t="s">
        <v>18</v>
      </c>
      <c r="H4" s="25" t="s">
        <v>90</v>
      </c>
    </row>
    <row r="5" customFormat="false" ht="15" hidden="false" customHeight="false" outlineLevel="0" collapsed="false">
      <c r="A5" s="31" t="n">
        <v>2</v>
      </c>
      <c r="B5" s="39" t="n">
        <v>46162</v>
      </c>
      <c r="C5" s="31" t="s">
        <v>91</v>
      </c>
      <c r="D5" s="31"/>
      <c r="E5" s="31" t="s">
        <v>92</v>
      </c>
      <c r="F5" s="31"/>
      <c r="G5" s="31" t="s">
        <v>93</v>
      </c>
      <c r="H5" s="31" t="s">
        <v>90</v>
      </c>
    </row>
    <row r="6" customFormat="false" ht="15" hidden="false" customHeight="false" outlineLevel="0" collapsed="false">
      <c r="A6" s="25" t="str">
        <f aca="false">IF(B6="","",ROW()-3)</f>
        <v/>
      </c>
      <c r="B6" s="38"/>
      <c r="C6" s="25"/>
      <c r="D6" s="25"/>
      <c r="E6" s="25"/>
      <c r="F6" s="25"/>
      <c r="G6" s="25"/>
      <c r="H6" s="25"/>
    </row>
    <row r="7" customFormat="false" ht="15" hidden="false" customHeight="false" outlineLevel="0" collapsed="false">
      <c r="A7" s="31" t="str">
        <f aca="false">IF(B7="","",ROW()-3)</f>
        <v/>
      </c>
      <c r="B7" s="39"/>
      <c r="C7" s="31"/>
      <c r="D7" s="31"/>
      <c r="E7" s="31"/>
      <c r="F7" s="31"/>
      <c r="G7" s="31"/>
      <c r="H7" s="31"/>
    </row>
    <row r="8" customFormat="false" ht="15" hidden="false" customHeight="false" outlineLevel="0" collapsed="false">
      <c r="A8" s="25" t="str">
        <f aca="false">IF(B8="","",ROW()-3)</f>
        <v/>
      </c>
      <c r="B8" s="38"/>
      <c r="C8" s="25"/>
      <c r="D8" s="25"/>
      <c r="E8" s="25"/>
      <c r="F8" s="25"/>
      <c r="G8" s="25"/>
      <c r="H8" s="25"/>
    </row>
    <row r="9" customFormat="false" ht="15" hidden="false" customHeight="false" outlineLevel="0" collapsed="false">
      <c r="A9" s="31" t="str">
        <f aca="false">IF(B9="","",ROW()-3)</f>
        <v/>
      </c>
      <c r="B9" s="39"/>
      <c r="C9" s="31"/>
      <c r="D9" s="31"/>
      <c r="E9" s="31"/>
      <c r="F9" s="31"/>
      <c r="G9" s="31"/>
      <c r="H9" s="31"/>
    </row>
    <row r="10" customFormat="false" ht="15" hidden="false" customHeight="false" outlineLevel="0" collapsed="false">
      <c r="A10" s="25" t="str">
        <f aca="false">IF(B10="","",ROW()-3)</f>
        <v/>
      </c>
      <c r="B10" s="38"/>
      <c r="C10" s="25"/>
      <c r="D10" s="25"/>
      <c r="E10" s="25"/>
      <c r="F10" s="25"/>
      <c r="G10" s="25"/>
      <c r="H10" s="25"/>
    </row>
    <row r="11" customFormat="false" ht="15" hidden="false" customHeight="false" outlineLevel="0" collapsed="false">
      <c r="A11" s="31" t="str">
        <f aca="false">IF(B11="","",ROW()-3)</f>
        <v/>
      </c>
      <c r="B11" s="39"/>
      <c r="C11" s="31"/>
      <c r="D11" s="31"/>
      <c r="E11" s="31"/>
      <c r="F11" s="31"/>
      <c r="G11" s="31"/>
      <c r="H11" s="31"/>
    </row>
    <row r="12" customFormat="false" ht="15" hidden="false" customHeight="false" outlineLevel="0" collapsed="false">
      <c r="A12" s="25" t="str">
        <f aca="false">IF(B12="","",ROW()-3)</f>
        <v/>
      </c>
      <c r="B12" s="38"/>
      <c r="C12" s="25"/>
      <c r="D12" s="25"/>
      <c r="E12" s="25"/>
      <c r="F12" s="25"/>
      <c r="G12" s="25"/>
      <c r="H12" s="25"/>
    </row>
    <row r="13" customFormat="false" ht="15" hidden="false" customHeight="false" outlineLevel="0" collapsed="false">
      <c r="A13" s="31" t="str">
        <f aca="false">IF(B13="","",ROW()-3)</f>
        <v/>
      </c>
      <c r="B13" s="39"/>
      <c r="C13" s="31"/>
      <c r="D13" s="31"/>
      <c r="E13" s="31"/>
      <c r="F13" s="31"/>
      <c r="G13" s="31"/>
      <c r="H13" s="31"/>
    </row>
    <row r="14" customFormat="false" ht="15" hidden="false" customHeight="false" outlineLevel="0" collapsed="false">
      <c r="A14" s="25" t="str">
        <f aca="false">IF(B14="","",ROW()-3)</f>
        <v/>
      </c>
      <c r="B14" s="38"/>
      <c r="C14" s="25"/>
      <c r="D14" s="25"/>
      <c r="E14" s="25"/>
      <c r="F14" s="25"/>
      <c r="G14" s="25"/>
      <c r="H14" s="25"/>
    </row>
    <row r="15" customFormat="false" ht="15" hidden="false" customHeight="false" outlineLevel="0" collapsed="false">
      <c r="A15" s="31" t="str">
        <f aca="false">IF(B15="","",ROW()-3)</f>
        <v/>
      </c>
      <c r="B15" s="39"/>
      <c r="C15" s="31"/>
      <c r="D15" s="31"/>
      <c r="E15" s="31"/>
      <c r="F15" s="31"/>
      <c r="G15" s="31"/>
      <c r="H15" s="31"/>
    </row>
    <row r="16" customFormat="false" ht="15" hidden="false" customHeight="false" outlineLevel="0" collapsed="false">
      <c r="A16" s="25" t="str">
        <f aca="false">IF(B16="","",ROW()-3)</f>
        <v/>
      </c>
      <c r="B16" s="38"/>
      <c r="C16" s="25"/>
      <c r="D16" s="25"/>
      <c r="E16" s="25"/>
      <c r="F16" s="25"/>
      <c r="G16" s="25"/>
      <c r="H16" s="25"/>
    </row>
    <row r="17" customFormat="false" ht="15" hidden="false" customHeight="false" outlineLevel="0" collapsed="false">
      <c r="A17" s="31" t="str">
        <f aca="false">IF(B17="","",ROW()-3)</f>
        <v/>
      </c>
      <c r="B17" s="39"/>
      <c r="C17" s="31"/>
      <c r="D17" s="31"/>
      <c r="E17" s="31"/>
      <c r="F17" s="31"/>
      <c r="G17" s="31"/>
      <c r="H17" s="31"/>
    </row>
    <row r="18" customFormat="false" ht="15" hidden="false" customHeight="false" outlineLevel="0" collapsed="false">
      <c r="A18" s="25" t="str">
        <f aca="false">IF(B18="","",ROW()-3)</f>
        <v/>
      </c>
      <c r="B18" s="38"/>
      <c r="C18" s="25"/>
      <c r="D18" s="25"/>
      <c r="E18" s="25"/>
      <c r="F18" s="25"/>
      <c r="G18" s="25"/>
      <c r="H18" s="25"/>
    </row>
    <row r="19" customFormat="false" ht="15" hidden="false" customHeight="false" outlineLevel="0" collapsed="false">
      <c r="A19" s="31" t="str">
        <f aca="false">IF(B19="","",ROW()-3)</f>
        <v/>
      </c>
      <c r="B19" s="39"/>
      <c r="C19" s="31"/>
      <c r="D19" s="31"/>
      <c r="E19" s="31"/>
      <c r="F19" s="31"/>
      <c r="G19" s="31"/>
      <c r="H19" s="31"/>
    </row>
    <row r="20" customFormat="false" ht="15" hidden="false" customHeight="false" outlineLevel="0" collapsed="false">
      <c r="A20" s="25" t="str">
        <f aca="false">IF(B20="","",ROW()-3)</f>
        <v/>
      </c>
      <c r="B20" s="38"/>
      <c r="C20" s="25"/>
      <c r="D20" s="25"/>
      <c r="E20" s="25"/>
      <c r="F20" s="25"/>
      <c r="G20" s="25"/>
      <c r="H20" s="25"/>
    </row>
    <row r="21" customFormat="false" ht="15" hidden="false" customHeight="false" outlineLevel="0" collapsed="false">
      <c r="A21" s="31" t="str">
        <f aca="false">IF(B21="","",ROW()-3)</f>
        <v/>
      </c>
      <c r="B21" s="39"/>
      <c r="C21" s="31"/>
      <c r="D21" s="31"/>
      <c r="E21" s="31"/>
      <c r="F21" s="31"/>
      <c r="G21" s="31"/>
      <c r="H21" s="31"/>
    </row>
    <row r="22" customFormat="false" ht="15" hidden="false" customHeight="false" outlineLevel="0" collapsed="false">
      <c r="A22" s="25" t="str">
        <f aca="false">IF(B22="","",ROW()-3)</f>
        <v/>
      </c>
      <c r="B22" s="38"/>
      <c r="C22" s="25"/>
      <c r="D22" s="25"/>
      <c r="E22" s="25"/>
      <c r="F22" s="25"/>
      <c r="G22" s="25"/>
      <c r="H22" s="25"/>
    </row>
    <row r="23" customFormat="false" ht="15" hidden="false" customHeight="false" outlineLevel="0" collapsed="false">
      <c r="A23" s="31" t="str">
        <f aca="false">IF(B23="","",ROW()-3)</f>
        <v/>
      </c>
      <c r="B23" s="39"/>
      <c r="C23" s="31"/>
      <c r="D23" s="31"/>
      <c r="E23" s="31"/>
      <c r="F23" s="31"/>
      <c r="G23" s="31"/>
      <c r="H23" s="31"/>
    </row>
    <row r="24" customFormat="false" ht="15" hidden="false" customHeight="false" outlineLevel="0" collapsed="false">
      <c r="A24" s="25" t="str">
        <f aca="false">IF(B24="","",ROW()-3)</f>
        <v/>
      </c>
      <c r="B24" s="38"/>
      <c r="C24" s="25"/>
      <c r="D24" s="25"/>
      <c r="E24" s="25"/>
      <c r="F24" s="25"/>
      <c r="G24" s="25"/>
      <c r="H24" s="25"/>
    </row>
    <row r="25" customFormat="false" ht="15" hidden="false" customHeight="false" outlineLevel="0" collapsed="false">
      <c r="A25" s="31" t="str">
        <f aca="false">IF(B25="","",ROW()-3)</f>
        <v/>
      </c>
      <c r="B25" s="39"/>
      <c r="C25" s="31"/>
      <c r="D25" s="31"/>
      <c r="E25" s="31"/>
      <c r="F25" s="31"/>
      <c r="G25" s="31"/>
      <c r="H25" s="31"/>
    </row>
    <row r="26" customFormat="false" ht="15" hidden="false" customHeight="false" outlineLevel="0" collapsed="false">
      <c r="A26" s="25" t="str">
        <f aca="false">IF(B26="","",ROW()-3)</f>
        <v/>
      </c>
      <c r="B26" s="38"/>
      <c r="C26" s="25"/>
      <c r="D26" s="25"/>
      <c r="E26" s="25"/>
      <c r="F26" s="25"/>
      <c r="G26" s="25"/>
      <c r="H26" s="25"/>
    </row>
    <row r="27" customFormat="false" ht="15" hidden="false" customHeight="false" outlineLevel="0" collapsed="false">
      <c r="A27" s="31" t="str">
        <f aca="false">IF(B27="","",ROW()-3)</f>
        <v/>
      </c>
      <c r="B27" s="39"/>
      <c r="C27" s="31"/>
      <c r="D27" s="31"/>
      <c r="E27" s="31"/>
      <c r="F27" s="31"/>
      <c r="G27" s="31"/>
      <c r="H27" s="31"/>
    </row>
    <row r="28" customFormat="false" ht="15" hidden="false" customHeight="false" outlineLevel="0" collapsed="false">
      <c r="A28" s="25" t="str">
        <f aca="false">IF(B28="","",ROW()-3)</f>
        <v/>
      </c>
      <c r="B28" s="38"/>
      <c r="C28" s="25"/>
      <c r="D28" s="25"/>
      <c r="E28" s="25"/>
      <c r="F28" s="25"/>
      <c r="G28" s="25"/>
      <c r="H28" s="25"/>
    </row>
    <row r="29" customFormat="false" ht="15" hidden="false" customHeight="false" outlineLevel="0" collapsed="false">
      <c r="A29" s="31" t="str">
        <f aca="false">IF(B29="","",ROW()-3)</f>
        <v/>
      </c>
      <c r="B29" s="39"/>
      <c r="C29" s="31"/>
      <c r="D29" s="31"/>
      <c r="E29" s="31"/>
      <c r="F29" s="31"/>
      <c r="G29" s="31"/>
      <c r="H29" s="31"/>
    </row>
    <row r="30" customFormat="false" ht="15" hidden="false" customHeight="false" outlineLevel="0" collapsed="false">
      <c r="A30" s="25" t="str">
        <f aca="false">IF(B30="","",ROW()-3)</f>
        <v/>
      </c>
      <c r="B30" s="38"/>
      <c r="C30" s="25"/>
      <c r="D30" s="25"/>
      <c r="E30" s="25"/>
      <c r="F30" s="25"/>
      <c r="G30" s="25"/>
      <c r="H30" s="25"/>
    </row>
    <row r="31" customFormat="false" ht="15" hidden="false" customHeight="false" outlineLevel="0" collapsed="false">
      <c r="A31" s="31" t="str">
        <f aca="false">IF(B31="","",ROW()-3)</f>
        <v/>
      </c>
      <c r="B31" s="39"/>
      <c r="C31" s="31"/>
      <c r="D31" s="31"/>
      <c r="E31" s="31"/>
      <c r="F31" s="31"/>
      <c r="G31" s="31"/>
      <c r="H31" s="31"/>
    </row>
    <row r="32" customFormat="false" ht="15" hidden="false" customHeight="false" outlineLevel="0" collapsed="false">
      <c r="A32" s="25" t="str">
        <f aca="false">IF(B32="","",ROW()-3)</f>
        <v/>
      </c>
      <c r="B32" s="38"/>
      <c r="C32" s="25"/>
      <c r="D32" s="25"/>
      <c r="E32" s="25"/>
      <c r="F32" s="25"/>
      <c r="G32" s="25"/>
      <c r="H32" s="25"/>
    </row>
    <row r="33" customFormat="false" ht="15" hidden="false" customHeight="false" outlineLevel="0" collapsed="false">
      <c r="A33" s="31" t="str">
        <f aca="false">IF(B33="","",ROW()-3)</f>
        <v/>
      </c>
      <c r="B33" s="39"/>
      <c r="C33" s="31"/>
      <c r="D33" s="31"/>
      <c r="E33" s="31"/>
      <c r="F33" s="31"/>
      <c r="G33" s="31"/>
      <c r="H33" s="31"/>
    </row>
    <row r="34" customFormat="false" ht="15" hidden="false" customHeight="false" outlineLevel="0" collapsed="false">
      <c r="A34" s="25" t="str">
        <f aca="false">IF(B34="","",ROW()-3)</f>
        <v/>
      </c>
      <c r="B34" s="38"/>
      <c r="C34" s="25"/>
      <c r="D34" s="25"/>
      <c r="E34" s="25"/>
      <c r="F34" s="25"/>
      <c r="G34" s="25"/>
      <c r="H34" s="25"/>
    </row>
    <row r="35" customFormat="false" ht="15" hidden="false" customHeight="false" outlineLevel="0" collapsed="false">
      <c r="A35" s="31" t="str">
        <f aca="false">IF(B35="","",ROW()-3)</f>
        <v/>
      </c>
      <c r="B35" s="39"/>
      <c r="C35" s="31"/>
      <c r="D35" s="31"/>
      <c r="E35" s="31"/>
      <c r="F35" s="31"/>
      <c r="G35" s="31"/>
      <c r="H35" s="31"/>
    </row>
    <row r="36" customFormat="false" ht="15" hidden="false" customHeight="false" outlineLevel="0" collapsed="false">
      <c r="A36" s="25" t="str">
        <f aca="false">IF(B36="","",ROW()-3)</f>
        <v/>
      </c>
      <c r="B36" s="38"/>
      <c r="C36" s="25"/>
      <c r="D36" s="25"/>
      <c r="E36" s="25"/>
      <c r="F36" s="25"/>
      <c r="G36" s="25"/>
      <c r="H36" s="25"/>
    </row>
    <row r="37" customFormat="false" ht="15" hidden="false" customHeight="false" outlineLevel="0" collapsed="false">
      <c r="A37" s="31" t="str">
        <f aca="false">IF(B37="","",ROW()-3)</f>
        <v/>
      </c>
      <c r="B37" s="39"/>
      <c r="C37" s="31"/>
      <c r="D37" s="31"/>
      <c r="E37" s="31"/>
      <c r="F37" s="31"/>
      <c r="G37" s="31"/>
      <c r="H37" s="31"/>
    </row>
    <row r="38" customFormat="false" ht="15" hidden="false" customHeight="false" outlineLevel="0" collapsed="false">
      <c r="A38" s="25" t="str">
        <f aca="false">IF(B38="","",ROW()-3)</f>
        <v/>
      </c>
      <c r="B38" s="38"/>
      <c r="C38" s="25"/>
      <c r="D38" s="25"/>
      <c r="E38" s="25"/>
      <c r="F38" s="25"/>
      <c r="G38" s="25"/>
      <c r="H38" s="25"/>
    </row>
    <row r="39" customFormat="false" ht="15" hidden="false" customHeight="false" outlineLevel="0" collapsed="false">
      <c r="A39" s="31" t="str">
        <f aca="false">IF(B39="","",ROW()-3)</f>
        <v/>
      </c>
      <c r="B39" s="39"/>
      <c r="C39" s="31"/>
      <c r="D39" s="31"/>
      <c r="E39" s="31"/>
      <c r="F39" s="31"/>
      <c r="G39" s="31"/>
      <c r="H39" s="31"/>
    </row>
    <row r="40" customFormat="false" ht="15" hidden="false" customHeight="false" outlineLevel="0" collapsed="false">
      <c r="A40" s="25" t="str">
        <f aca="false">IF(B40="","",ROW()-3)</f>
        <v/>
      </c>
      <c r="B40" s="38"/>
      <c r="C40" s="25"/>
      <c r="D40" s="25"/>
      <c r="E40" s="25"/>
      <c r="F40" s="25"/>
      <c r="G40" s="25"/>
      <c r="H40" s="25"/>
    </row>
    <row r="41" customFormat="false" ht="15" hidden="false" customHeight="false" outlineLevel="0" collapsed="false">
      <c r="A41" s="31" t="str">
        <f aca="false">IF(B41="","",ROW()-3)</f>
        <v/>
      </c>
      <c r="B41" s="39"/>
      <c r="C41" s="31"/>
      <c r="D41" s="31"/>
      <c r="E41" s="31"/>
      <c r="F41" s="31"/>
      <c r="G41" s="31"/>
      <c r="H41" s="31"/>
    </row>
    <row r="42" customFormat="false" ht="15" hidden="false" customHeight="false" outlineLevel="0" collapsed="false">
      <c r="A42" s="25" t="str">
        <f aca="false">IF(B42="","",ROW()-3)</f>
        <v/>
      </c>
      <c r="B42" s="38"/>
      <c r="C42" s="25"/>
      <c r="D42" s="25"/>
      <c r="E42" s="25"/>
      <c r="F42" s="25"/>
      <c r="G42" s="25"/>
      <c r="H42" s="25"/>
    </row>
    <row r="43" customFormat="false" ht="15" hidden="false" customHeight="false" outlineLevel="0" collapsed="false">
      <c r="A43" s="31" t="str">
        <f aca="false">IF(B43="","",ROW()-3)</f>
        <v/>
      </c>
      <c r="B43" s="39"/>
      <c r="C43" s="31"/>
      <c r="D43" s="31"/>
      <c r="E43" s="31"/>
      <c r="F43" s="31"/>
      <c r="G43" s="31"/>
      <c r="H43" s="31"/>
    </row>
    <row r="44" customFormat="false" ht="15" hidden="false" customHeight="false" outlineLevel="0" collapsed="false">
      <c r="A44" s="25" t="str">
        <f aca="false">IF(B44="","",ROW()-3)</f>
        <v/>
      </c>
      <c r="B44" s="38"/>
      <c r="C44" s="25"/>
      <c r="D44" s="25"/>
      <c r="E44" s="25"/>
      <c r="F44" s="25"/>
      <c r="G44" s="25"/>
      <c r="H44" s="25"/>
    </row>
    <row r="45" customFormat="false" ht="15" hidden="false" customHeight="false" outlineLevel="0" collapsed="false">
      <c r="A45" s="31" t="str">
        <f aca="false">IF(B45="","",ROW()-3)</f>
        <v/>
      </c>
      <c r="B45" s="39"/>
      <c r="C45" s="31"/>
      <c r="D45" s="31"/>
      <c r="E45" s="31"/>
      <c r="F45" s="31"/>
      <c r="G45" s="31"/>
      <c r="H45" s="31"/>
    </row>
    <row r="46" customFormat="false" ht="15" hidden="false" customHeight="false" outlineLevel="0" collapsed="false">
      <c r="A46" s="25" t="str">
        <f aca="false">IF(B46="","",ROW()-3)</f>
        <v/>
      </c>
      <c r="B46" s="38"/>
      <c r="C46" s="25"/>
      <c r="D46" s="25"/>
      <c r="E46" s="25"/>
      <c r="F46" s="25"/>
      <c r="G46" s="25"/>
      <c r="H46" s="25"/>
    </row>
    <row r="47" customFormat="false" ht="15" hidden="false" customHeight="false" outlineLevel="0" collapsed="false">
      <c r="A47" s="31" t="str">
        <f aca="false">IF(B47="","",ROW()-3)</f>
        <v/>
      </c>
      <c r="B47" s="39"/>
      <c r="C47" s="31"/>
      <c r="D47" s="31"/>
      <c r="E47" s="31"/>
      <c r="F47" s="31"/>
      <c r="G47" s="31"/>
      <c r="H47" s="31"/>
    </row>
    <row r="48" customFormat="false" ht="15" hidden="false" customHeight="false" outlineLevel="0" collapsed="false">
      <c r="A48" s="25" t="str">
        <f aca="false">IF(B48="","",ROW()-3)</f>
        <v/>
      </c>
      <c r="B48" s="38"/>
      <c r="C48" s="25"/>
      <c r="D48" s="25"/>
      <c r="E48" s="25"/>
      <c r="F48" s="25"/>
      <c r="G48" s="25"/>
      <c r="H48" s="25"/>
    </row>
    <row r="49" customFormat="false" ht="15" hidden="false" customHeight="false" outlineLevel="0" collapsed="false">
      <c r="A49" s="31" t="str">
        <f aca="false">IF(B49="","",ROW()-3)</f>
        <v/>
      </c>
      <c r="B49" s="39"/>
      <c r="C49" s="31"/>
      <c r="D49" s="31"/>
      <c r="E49" s="31"/>
      <c r="F49" s="31"/>
      <c r="G49" s="31"/>
      <c r="H49" s="31"/>
    </row>
    <row r="50" customFormat="false" ht="15" hidden="false" customHeight="false" outlineLevel="0" collapsed="false">
      <c r="A50" s="25" t="str">
        <f aca="false">IF(B50="","",ROW()-3)</f>
        <v/>
      </c>
      <c r="B50" s="38"/>
      <c r="C50" s="25"/>
      <c r="D50" s="25"/>
      <c r="E50" s="25"/>
      <c r="F50" s="25"/>
      <c r="G50" s="25"/>
      <c r="H50" s="25"/>
    </row>
    <row r="51" customFormat="false" ht="15" hidden="false" customHeight="false" outlineLevel="0" collapsed="false">
      <c r="A51" s="31" t="str">
        <f aca="false">IF(B51="","",ROW()-3)</f>
        <v/>
      </c>
      <c r="B51" s="39"/>
      <c r="C51" s="31"/>
      <c r="D51" s="31"/>
      <c r="E51" s="31"/>
      <c r="F51" s="31"/>
      <c r="G51" s="31"/>
      <c r="H51" s="31"/>
    </row>
    <row r="52" customFormat="false" ht="15" hidden="false" customHeight="false" outlineLevel="0" collapsed="false">
      <c r="A52" s="25" t="str">
        <f aca="false">IF(B52="","",ROW()-3)</f>
        <v/>
      </c>
      <c r="B52" s="38"/>
      <c r="C52" s="25"/>
      <c r="D52" s="25"/>
      <c r="E52" s="25"/>
      <c r="F52" s="25"/>
      <c r="G52" s="25"/>
      <c r="H52" s="25"/>
    </row>
    <row r="53" customFormat="false" ht="15" hidden="false" customHeight="false" outlineLevel="0" collapsed="false">
      <c r="A53" s="31" t="str">
        <f aca="false">IF(B53="","",ROW()-3)</f>
        <v/>
      </c>
      <c r="B53" s="39"/>
      <c r="C53" s="31"/>
      <c r="D53" s="31"/>
      <c r="E53" s="31"/>
      <c r="F53" s="31"/>
      <c r="G53" s="31"/>
      <c r="H53" s="31"/>
    </row>
    <row r="54" customFormat="false" ht="15" hidden="false" customHeight="false" outlineLevel="0" collapsed="false">
      <c r="A54" s="25" t="str">
        <f aca="false">IF(B54="","",ROW()-3)</f>
        <v/>
      </c>
      <c r="B54" s="38"/>
      <c r="C54" s="25"/>
      <c r="D54" s="25"/>
      <c r="E54" s="25"/>
      <c r="F54" s="25"/>
      <c r="G54" s="25"/>
      <c r="H54" s="25"/>
    </row>
    <row r="55" customFormat="false" ht="15" hidden="false" customHeight="false" outlineLevel="0" collapsed="false">
      <c r="A55" s="31" t="str">
        <f aca="false">IF(B55="","",ROW()-3)</f>
        <v/>
      </c>
      <c r="B55" s="39"/>
      <c r="C55" s="31"/>
      <c r="D55" s="31"/>
      <c r="E55" s="31"/>
      <c r="F55" s="31"/>
      <c r="G55" s="31"/>
      <c r="H55" s="31"/>
    </row>
    <row r="56" customFormat="false" ht="15" hidden="false" customHeight="false" outlineLevel="0" collapsed="false">
      <c r="A56" s="25" t="str">
        <f aca="false">IF(B56="","",ROW()-3)</f>
        <v/>
      </c>
      <c r="B56" s="38"/>
      <c r="C56" s="25"/>
      <c r="D56" s="25"/>
      <c r="E56" s="25"/>
      <c r="F56" s="25"/>
      <c r="G56" s="25"/>
      <c r="H56" s="25"/>
    </row>
    <row r="57" customFormat="false" ht="15" hidden="false" customHeight="false" outlineLevel="0" collapsed="false">
      <c r="A57" s="31" t="str">
        <f aca="false">IF(B57="","",ROW()-3)</f>
        <v/>
      </c>
      <c r="B57" s="39"/>
      <c r="C57" s="31"/>
      <c r="D57" s="31"/>
      <c r="E57" s="31"/>
      <c r="F57" s="31"/>
      <c r="G57" s="31"/>
      <c r="H57" s="31"/>
    </row>
    <row r="58" customFormat="false" ht="15" hidden="false" customHeight="false" outlineLevel="0" collapsed="false">
      <c r="A58" s="25" t="str">
        <f aca="false">IF(B58="","",ROW()-3)</f>
        <v/>
      </c>
      <c r="B58" s="38"/>
      <c r="C58" s="25"/>
      <c r="D58" s="25"/>
      <c r="E58" s="25"/>
      <c r="F58" s="25"/>
      <c r="G58" s="25"/>
      <c r="H58" s="25"/>
    </row>
    <row r="59" customFormat="false" ht="15" hidden="false" customHeight="false" outlineLevel="0" collapsed="false">
      <c r="A59" s="31" t="str">
        <f aca="false">IF(B59="","",ROW()-3)</f>
        <v/>
      </c>
      <c r="B59" s="39"/>
      <c r="C59" s="31"/>
      <c r="D59" s="31"/>
      <c r="E59" s="31"/>
      <c r="F59" s="31"/>
      <c r="G59" s="31"/>
      <c r="H59" s="31"/>
    </row>
    <row r="60" customFormat="false" ht="15" hidden="false" customHeight="false" outlineLevel="0" collapsed="false">
      <c r="A60" s="25" t="str">
        <f aca="false">IF(B60="","",ROW()-3)</f>
        <v/>
      </c>
      <c r="B60" s="38"/>
      <c r="C60" s="25"/>
      <c r="D60" s="25"/>
      <c r="E60" s="25"/>
      <c r="F60" s="25"/>
      <c r="G60" s="25"/>
      <c r="H60" s="25"/>
    </row>
    <row r="61" customFormat="false" ht="15" hidden="false" customHeight="false" outlineLevel="0" collapsed="false">
      <c r="A61" s="31" t="str">
        <f aca="false">IF(B61="","",ROW()-3)</f>
        <v/>
      </c>
      <c r="B61" s="39"/>
      <c r="C61" s="31"/>
      <c r="D61" s="31"/>
      <c r="E61" s="31"/>
      <c r="F61" s="31"/>
      <c r="G61" s="31"/>
      <c r="H61" s="31"/>
    </row>
    <row r="62" customFormat="false" ht="15" hidden="false" customHeight="false" outlineLevel="0" collapsed="false">
      <c r="A62" s="25" t="str">
        <f aca="false">IF(B62="","",ROW()-3)</f>
        <v/>
      </c>
      <c r="B62" s="38"/>
      <c r="C62" s="25"/>
      <c r="D62" s="25"/>
      <c r="E62" s="25"/>
      <c r="F62" s="25"/>
      <c r="G62" s="25"/>
      <c r="H62" s="25"/>
    </row>
    <row r="63" customFormat="false" ht="15" hidden="false" customHeight="false" outlineLevel="0" collapsed="false">
      <c r="A63" s="31" t="str">
        <f aca="false">IF(B63="","",ROW()-3)</f>
        <v/>
      </c>
      <c r="B63" s="39"/>
      <c r="C63" s="31"/>
      <c r="D63" s="31"/>
      <c r="E63" s="31"/>
      <c r="F63" s="31"/>
      <c r="G63" s="31"/>
      <c r="H63" s="31"/>
    </row>
    <row r="64" customFormat="false" ht="15" hidden="false" customHeight="false" outlineLevel="0" collapsed="false">
      <c r="A64" s="25" t="str">
        <f aca="false">IF(B64="","",ROW()-3)</f>
        <v/>
      </c>
      <c r="B64" s="38"/>
      <c r="C64" s="25"/>
      <c r="D64" s="25"/>
      <c r="E64" s="25"/>
      <c r="F64" s="25"/>
      <c r="G64" s="25"/>
      <c r="H64" s="25"/>
    </row>
    <row r="65" customFormat="false" ht="15" hidden="false" customHeight="false" outlineLevel="0" collapsed="false">
      <c r="A65" s="31" t="str">
        <f aca="false">IF(B65="","",ROW()-3)</f>
        <v/>
      </c>
      <c r="B65" s="39"/>
      <c r="C65" s="31"/>
      <c r="D65" s="31"/>
      <c r="E65" s="31"/>
      <c r="F65" s="31"/>
      <c r="G65" s="31"/>
      <c r="H65" s="31"/>
    </row>
    <row r="66" customFormat="false" ht="15" hidden="false" customHeight="false" outlineLevel="0" collapsed="false">
      <c r="A66" s="25" t="str">
        <f aca="false">IF(B66="","",ROW()-3)</f>
        <v/>
      </c>
      <c r="B66" s="38"/>
      <c r="C66" s="25"/>
      <c r="D66" s="25"/>
      <c r="E66" s="25"/>
      <c r="F66" s="25"/>
      <c r="G66" s="25"/>
      <c r="H66" s="25"/>
    </row>
    <row r="67" customFormat="false" ht="15" hidden="false" customHeight="false" outlineLevel="0" collapsed="false">
      <c r="A67" s="31" t="str">
        <f aca="false">IF(B67="","",ROW()-3)</f>
        <v/>
      </c>
      <c r="B67" s="39"/>
      <c r="C67" s="31"/>
      <c r="D67" s="31"/>
      <c r="E67" s="31"/>
      <c r="F67" s="31"/>
      <c r="G67" s="31"/>
      <c r="H67" s="31"/>
    </row>
    <row r="68" customFormat="false" ht="15" hidden="false" customHeight="false" outlineLevel="0" collapsed="false">
      <c r="A68" s="25" t="str">
        <f aca="false">IF(B68="","",ROW()-3)</f>
        <v/>
      </c>
      <c r="B68" s="38"/>
      <c r="C68" s="25"/>
      <c r="D68" s="25"/>
      <c r="E68" s="25"/>
      <c r="F68" s="25"/>
      <c r="G68" s="25"/>
      <c r="H68" s="25"/>
    </row>
    <row r="69" customFormat="false" ht="15" hidden="false" customHeight="false" outlineLevel="0" collapsed="false">
      <c r="A69" s="31" t="str">
        <f aca="false">IF(B69="","",ROW()-3)</f>
        <v/>
      </c>
      <c r="B69" s="39"/>
      <c r="C69" s="31"/>
      <c r="D69" s="31"/>
      <c r="E69" s="31"/>
      <c r="F69" s="31"/>
      <c r="G69" s="31"/>
      <c r="H69" s="31"/>
    </row>
    <row r="70" customFormat="false" ht="15" hidden="false" customHeight="false" outlineLevel="0" collapsed="false">
      <c r="A70" s="25" t="str">
        <f aca="false">IF(B70="","",ROW()-3)</f>
        <v/>
      </c>
      <c r="B70" s="38"/>
      <c r="C70" s="25"/>
      <c r="D70" s="25"/>
      <c r="E70" s="25"/>
      <c r="F70" s="25"/>
      <c r="G70" s="25"/>
      <c r="H70" s="25"/>
    </row>
    <row r="71" customFormat="false" ht="15" hidden="false" customHeight="false" outlineLevel="0" collapsed="false">
      <c r="A71" s="31" t="str">
        <f aca="false">IF(B71="","",ROW()-3)</f>
        <v/>
      </c>
      <c r="B71" s="39"/>
      <c r="C71" s="31"/>
      <c r="D71" s="31"/>
      <c r="E71" s="31"/>
      <c r="F71" s="31"/>
      <c r="G71" s="31"/>
      <c r="H71" s="31"/>
    </row>
    <row r="72" customFormat="false" ht="15" hidden="false" customHeight="false" outlineLevel="0" collapsed="false">
      <c r="A72" s="25" t="str">
        <f aca="false">IF(B72="","",ROW()-3)</f>
        <v/>
      </c>
      <c r="B72" s="38"/>
      <c r="C72" s="25"/>
      <c r="D72" s="25"/>
      <c r="E72" s="25"/>
      <c r="F72" s="25"/>
      <c r="G72" s="25"/>
      <c r="H72" s="25"/>
    </row>
    <row r="73" customFormat="false" ht="15" hidden="false" customHeight="false" outlineLevel="0" collapsed="false">
      <c r="A73" s="31" t="str">
        <f aca="false">IF(B73="","",ROW()-3)</f>
        <v/>
      </c>
      <c r="B73" s="39"/>
      <c r="C73" s="31"/>
      <c r="D73" s="31"/>
      <c r="E73" s="31"/>
      <c r="F73" s="31"/>
      <c r="G73" s="31"/>
      <c r="H73" s="31"/>
    </row>
    <row r="74" customFormat="false" ht="15" hidden="false" customHeight="false" outlineLevel="0" collapsed="false">
      <c r="A74" s="25" t="str">
        <f aca="false">IF(B74="","",ROW()-3)</f>
        <v/>
      </c>
      <c r="B74" s="38"/>
      <c r="C74" s="25"/>
      <c r="D74" s="25"/>
      <c r="E74" s="25"/>
      <c r="F74" s="25"/>
      <c r="G74" s="25"/>
      <c r="H74" s="25"/>
    </row>
    <row r="75" customFormat="false" ht="15" hidden="false" customHeight="false" outlineLevel="0" collapsed="false">
      <c r="A75" s="31" t="str">
        <f aca="false">IF(B75="","",ROW()-3)</f>
        <v/>
      </c>
      <c r="B75" s="39"/>
      <c r="C75" s="31"/>
      <c r="D75" s="31"/>
      <c r="E75" s="31"/>
      <c r="F75" s="31"/>
      <c r="G75" s="31"/>
      <c r="H75" s="31"/>
    </row>
    <row r="76" customFormat="false" ht="15" hidden="false" customHeight="false" outlineLevel="0" collapsed="false">
      <c r="A76" s="25" t="str">
        <f aca="false">IF(B76="","",ROW()-3)</f>
        <v/>
      </c>
      <c r="B76" s="38"/>
      <c r="C76" s="25"/>
      <c r="D76" s="25"/>
      <c r="E76" s="25"/>
      <c r="F76" s="25"/>
      <c r="G76" s="25"/>
      <c r="H76" s="25"/>
    </row>
    <row r="77" customFormat="false" ht="15" hidden="false" customHeight="false" outlineLevel="0" collapsed="false">
      <c r="A77" s="31" t="str">
        <f aca="false">IF(B77="","",ROW()-3)</f>
        <v/>
      </c>
      <c r="B77" s="39"/>
      <c r="C77" s="31"/>
      <c r="D77" s="31"/>
      <c r="E77" s="31"/>
      <c r="F77" s="31"/>
      <c r="G77" s="31"/>
      <c r="H77" s="31"/>
    </row>
    <row r="78" customFormat="false" ht="15" hidden="false" customHeight="false" outlineLevel="0" collapsed="false">
      <c r="A78" s="25" t="str">
        <f aca="false">IF(B78="","",ROW()-3)</f>
        <v/>
      </c>
      <c r="B78" s="38"/>
      <c r="C78" s="25"/>
      <c r="D78" s="25"/>
      <c r="E78" s="25"/>
      <c r="F78" s="25"/>
      <c r="G78" s="25"/>
      <c r="H78" s="25"/>
    </row>
    <row r="79" customFormat="false" ht="15" hidden="false" customHeight="false" outlineLevel="0" collapsed="false">
      <c r="A79" s="31" t="str">
        <f aca="false">IF(B79="","",ROW()-3)</f>
        <v/>
      </c>
      <c r="B79" s="39"/>
      <c r="C79" s="31"/>
      <c r="D79" s="31"/>
      <c r="E79" s="31"/>
      <c r="F79" s="31"/>
      <c r="G79" s="31"/>
      <c r="H79" s="31"/>
    </row>
    <row r="80" customFormat="false" ht="15" hidden="false" customHeight="false" outlineLevel="0" collapsed="false">
      <c r="A80" s="25" t="str">
        <f aca="false">IF(B80="","",ROW()-3)</f>
        <v/>
      </c>
      <c r="B80" s="38"/>
      <c r="C80" s="25"/>
      <c r="D80" s="25"/>
      <c r="E80" s="25"/>
      <c r="F80" s="25"/>
      <c r="G80" s="25"/>
      <c r="H80" s="25"/>
    </row>
    <row r="81" customFormat="false" ht="15" hidden="false" customHeight="false" outlineLevel="0" collapsed="false">
      <c r="A81" s="31" t="str">
        <f aca="false">IF(B81="","",ROW()-3)</f>
        <v/>
      </c>
      <c r="B81" s="39"/>
      <c r="C81" s="31"/>
      <c r="D81" s="31"/>
      <c r="E81" s="31"/>
      <c r="F81" s="31"/>
      <c r="G81" s="31"/>
      <c r="H81" s="31"/>
    </row>
    <row r="82" customFormat="false" ht="15" hidden="false" customHeight="false" outlineLevel="0" collapsed="false">
      <c r="A82" s="25" t="str">
        <f aca="false">IF(B82="","",ROW()-3)</f>
        <v/>
      </c>
      <c r="B82" s="38"/>
      <c r="C82" s="25"/>
      <c r="D82" s="25"/>
      <c r="E82" s="25"/>
      <c r="F82" s="25"/>
      <c r="G82" s="25"/>
      <c r="H82" s="25"/>
    </row>
    <row r="83" customFormat="false" ht="15" hidden="false" customHeight="false" outlineLevel="0" collapsed="false">
      <c r="A83" s="31" t="str">
        <f aca="false">IF(B83="","",ROW()-3)</f>
        <v/>
      </c>
      <c r="B83" s="39"/>
      <c r="C83" s="31"/>
      <c r="D83" s="31"/>
      <c r="E83" s="31"/>
      <c r="F83" s="31"/>
      <c r="G83" s="31"/>
      <c r="H83" s="31"/>
    </row>
    <row r="84" customFormat="false" ht="15" hidden="false" customHeight="false" outlineLevel="0" collapsed="false">
      <c r="A84" s="25" t="str">
        <f aca="false">IF(B84="","",ROW()-3)</f>
        <v/>
      </c>
      <c r="B84" s="38"/>
      <c r="C84" s="25"/>
      <c r="D84" s="25"/>
      <c r="E84" s="25"/>
      <c r="F84" s="25"/>
      <c r="G84" s="25"/>
      <c r="H84" s="25"/>
    </row>
    <row r="85" customFormat="false" ht="15" hidden="false" customHeight="false" outlineLevel="0" collapsed="false">
      <c r="A85" s="31" t="str">
        <f aca="false">IF(B85="","",ROW()-3)</f>
        <v/>
      </c>
      <c r="B85" s="39"/>
      <c r="C85" s="31"/>
      <c r="D85" s="31"/>
      <c r="E85" s="31"/>
      <c r="F85" s="31"/>
      <c r="G85" s="31"/>
      <c r="H85" s="31"/>
    </row>
    <row r="86" customFormat="false" ht="15" hidden="false" customHeight="false" outlineLevel="0" collapsed="false">
      <c r="A86" s="25" t="str">
        <f aca="false">IF(B86="","",ROW()-3)</f>
        <v/>
      </c>
      <c r="B86" s="38"/>
      <c r="C86" s="25"/>
      <c r="D86" s="25"/>
      <c r="E86" s="25"/>
      <c r="F86" s="25"/>
      <c r="G86" s="25"/>
      <c r="H86" s="25"/>
    </row>
    <row r="87" customFormat="false" ht="15" hidden="false" customHeight="false" outlineLevel="0" collapsed="false">
      <c r="A87" s="31" t="str">
        <f aca="false">IF(B87="","",ROW()-3)</f>
        <v/>
      </c>
      <c r="B87" s="39"/>
      <c r="C87" s="31"/>
      <c r="D87" s="31"/>
      <c r="E87" s="31"/>
      <c r="F87" s="31"/>
      <c r="G87" s="31"/>
      <c r="H87" s="31"/>
    </row>
    <row r="88" customFormat="false" ht="15" hidden="false" customHeight="false" outlineLevel="0" collapsed="false">
      <c r="A88" s="25" t="str">
        <f aca="false">IF(B88="","",ROW()-3)</f>
        <v/>
      </c>
      <c r="B88" s="38"/>
      <c r="C88" s="25"/>
      <c r="D88" s="25"/>
      <c r="E88" s="25"/>
      <c r="F88" s="25"/>
      <c r="G88" s="25"/>
      <c r="H88" s="25"/>
    </row>
    <row r="89" customFormat="false" ht="15" hidden="false" customHeight="false" outlineLevel="0" collapsed="false">
      <c r="A89" s="31" t="str">
        <f aca="false">IF(B89="","",ROW()-3)</f>
        <v/>
      </c>
      <c r="B89" s="39"/>
      <c r="C89" s="31"/>
      <c r="D89" s="31"/>
      <c r="E89" s="31"/>
      <c r="F89" s="31"/>
      <c r="G89" s="31"/>
      <c r="H89" s="31"/>
    </row>
    <row r="90" customFormat="false" ht="15" hidden="false" customHeight="false" outlineLevel="0" collapsed="false">
      <c r="A90" s="25" t="str">
        <f aca="false">IF(B90="","",ROW()-3)</f>
        <v/>
      </c>
      <c r="B90" s="38"/>
      <c r="C90" s="25"/>
      <c r="D90" s="25"/>
      <c r="E90" s="25"/>
      <c r="F90" s="25"/>
      <c r="G90" s="25"/>
      <c r="H90" s="25"/>
    </row>
    <row r="91" customFormat="false" ht="15" hidden="false" customHeight="false" outlineLevel="0" collapsed="false">
      <c r="A91" s="31" t="str">
        <f aca="false">IF(B91="","",ROW()-3)</f>
        <v/>
      </c>
      <c r="B91" s="39"/>
      <c r="C91" s="31"/>
      <c r="D91" s="31"/>
      <c r="E91" s="31"/>
      <c r="F91" s="31"/>
      <c r="G91" s="31"/>
      <c r="H91" s="31"/>
    </row>
    <row r="92" customFormat="false" ht="15" hidden="false" customHeight="false" outlineLevel="0" collapsed="false">
      <c r="A92" s="25" t="str">
        <f aca="false">IF(B92="","",ROW()-3)</f>
        <v/>
      </c>
      <c r="B92" s="38"/>
      <c r="C92" s="25"/>
      <c r="D92" s="25"/>
      <c r="E92" s="25"/>
      <c r="F92" s="25"/>
      <c r="G92" s="25"/>
      <c r="H92" s="25"/>
    </row>
    <row r="93" customFormat="false" ht="15" hidden="false" customHeight="false" outlineLevel="0" collapsed="false">
      <c r="A93" s="31" t="str">
        <f aca="false">IF(B93="","",ROW()-3)</f>
        <v/>
      </c>
      <c r="B93" s="39"/>
      <c r="C93" s="31"/>
      <c r="D93" s="31"/>
      <c r="E93" s="31"/>
      <c r="F93" s="31"/>
      <c r="G93" s="31"/>
      <c r="H93" s="31"/>
    </row>
    <row r="94" customFormat="false" ht="15" hidden="false" customHeight="false" outlineLevel="0" collapsed="false">
      <c r="A94" s="25" t="str">
        <f aca="false">IF(B94="","",ROW()-3)</f>
        <v/>
      </c>
      <c r="B94" s="38"/>
      <c r="C94" s="25"/>
      <c r="D94" s="25"/>
      <c r="E94" s="25"/>
      <c r="F94" s="25"/>
      <c r="G94" s="25"/>
      <c r="H94" s="25"/>
    </row>
    <row r="95" customFormat="false" ht="15" hidden="false" customHeight="false" outlineLevel="0" collapsed="false">
      <c r="A95" s="31" t="str">
        <f aca="false">IF(B95="","",ROW()-3)</f>
        <v/>
      </c>
      <c r="B95" s="39"/>
      <c r="C95" s="31"/>
      <c r="D95" s="31"/>
      <c r="E95" s="31"/>
      <c r="F95" s="31"/>
      <c r="G95" s="31"/>
      <c r="H95" s="31"/>
    </row>
    <row r="96" customFormat="false" ht="15" hidden="false" customHeight="false" outlineLevel="0" collapsed="false">
      <c r="A96" s="25" t="str">
        <f aca="false">IF(B96="","",ROW()-3)</f>
        <v/>
      </c>
      <c r="B96" s="38"/>
      <c r="C96" s="25"/>
      <c r="D96" s="25"/>
      <c r="E96" s="25"/>
      <c r="F96" s="25"/>
      <c r="G96" s="25"/>
      <c r="H96" s="25"/>
    </row>
    <row r="97" customFormat="false" ht="15" hidden="false" customHeight="false" outlineLevel="0" collapsed="false">
      <c r="A97" s="31" t="str">
        <f aca="false">IF(B97="","",ROW()-3)</f>
        <v/>
      </c>
      <c r="B97" s="39"/>
      <c r="C97" s="31"/>
      <c r="D97" s="31"/>
      <c r="E97" s="31"/>
      <c r="F97" s="31"/>
      <c r="G97" s="31"/>
      <c r="H97" s="31"/>
    </row>
    <row r="98" customFormat="false" ht="15" hidden="false" customHeight="false" outlineLevel="0" collapsed="false">
      <c r="A98" s="25" t="str">
        <f aca="false">IF(B98="","",ROW()-3)</f>
        <v/>
      </c>
      <c r="B98" s="38"/>
      <c r="C98" s="25"/>
      <c r="D98" s="25"/>
      <c r="E98" s="25"/>
      <c r="F98" s="25"/>
      <c r="G98" s="25"/>
      <c r="H98" s="25"/>
    </row>
    <row r="99" customFormat="false" ht="15" hidden="false" customHeight="false" outlineLevel="0" collapsed="false">
      <c r="A99" s="31" t="str">
        <f aca="false">IF(B99="","",ROW()-3)</f>
        <v/>
      </c>
      <c r="B99" s="39"/>
      <c r="C99" s="31"/>
      <c r="D99" s="31"/>
      <c r="E99" s="31"/>
      <c r="F99" s="31"/>
      <c r="G99" s="31"/>
      <c r="H99" s="31"/>
    </row>
    <row r="100" customFormat="false" ht="15" hidden="false" customHeight="false" outlineLevel="0" collapsed="false">
      <c r="A100" s="25" t="str">
        <f aca="false">IF(B100="","",ROW()-3)</f>
        <v/>
      </c>
      <c r="B100" s="38"/>
      <c r="C100" s="25"/>
      <c r="D100" s="25"/>
      <c r="E100" s="25"/>
      <c r="F100" s="25"/>
      <c r="G100" s="25"/>
      <c r="H100" s="25"/>
    </row>
  </sheetData>
  <autoFilter ref="A3:H100"/>
  <mergeCells count="2">
    <mergeCell ref="A1:H1"/>
    <mergeCell ref="A2:H2"/>
  </mergeCells>
  <conditionalFormatting sqref="H4:H100">
    <cfRule type="cellIs" priority="2" operator="equal" aboveAverage="0" equalAverage="0" bottom="0" percent="0" rank="0" text="" dxfId="11">
      <formula>"Pending"</formula>
    </cfRule>
    <cfRule type="cellIs" priority="3" operator="equal" aboveAverage="0" equalAverage="0" bottom="0" percent="0" rank="0" text="" dxfId="9">
      <formula>"Done - Interested"</formula>
    </cfRule>
    <cfRule type="cellIs" priority="4" operator="equal" aboveAverage="0" equalAverage="0" bottom="0" percent="0" rank="0" text="" dxfId="16">
      <formula>"Done - Admitted"</formula>
    </cfRule>
    <cfRule type="cellIs" priority="5" operator="equal" aboveAverage="0" equalAverage="0" bottom="0" percent="0" rank="0" text="" dxfId="15">
      <formula>"Done - Negotiating"</formula>
    </cfRule>
    <cfRule type="cellIs" priority="6" operator="equal" aboveAverage="0" equalAverage="0" bottom="0" percent="0" rank="0" text="" dxfId="17">
      <formula>"Done - Not Interested"</formula>
    </cfRule>
    <cfRule type="cellIs" priority="7" operator="equal" aboveAverage="0" equalAverage="0" bottom="0" percent="0" rank="0" text="" dxfId="18">
      <formula>"No-Show"</formula>
    </cfRule>
    <cfRule type="cellIs" priority="8" operator="equal" aboveAverage="0" equalAverage="0" bottom="0" percent="0" rank="0" text="" dxfId="12">
      <formula>"Rescheduled"</formula>
    </cfRule>
    <cfRule type="cellIs" priority="9" operator="equal" aboveAverage="0" equalAverage="0" bottom="0" percent="0" rank="0" text="" dxfId="10">
      <formula>"Cancelled"</formula>
    </cfRule>
  </conditionalFormatting>
  <conditionalFormatting sqref="A4:H100">
    <cfRule type="expression" priority="10" aboveAverage="0" equalAverage="0" bottom="0" percent="0" rank="0" text="" dxfId="22">
      <formula>$B4=TODAY()</formula>
    </cfRule>
  </conditionalFormatting>
  <dataValidations count="3">
    <dataValidation allowBlank="true" errorStyle="stop" operator="between" showDropDown="false" showErrorMessage="false" showInputMessage="false" sqref="C4:C100" type="list">
      <formula1>"10:45 AM – 11:15 AM,11:15 AM – 11:45 AM,11:45 AM – 12:15 PM,12:15 PM – 12:45 PM,12:45 PM – 1:15 PM,2:00 PM – 2:30 PM,2:30 PM – 3:00 PM,3:00 PM – 3:30 PM,3:30 PM – 4:00 PM,4:00 PM – 4:30 PM,4:30 PM – 5:00 PM,5:00 PM – 5:30 PM,5:30 PM – 6:00 PM,6:00 PM – 6:"</formula1>
      <formula2>0</formula2>
    </dataValidation>
    <dataValidation allowBlank="true" errorStyle="stop" operator="between" showDropDown="false" showErrorMessage="false" showInputMessage="false" sqref="G4:G100" type="list">
      <formula1>"Anjali,Samiksha,Walk-in,Reserved"</formula1>
      <formula2>0</formula2>
    </dataValidation>
    <dataValidation allowBlank="true" errorStyle="stop" operator="between" showDropDown="false" showErrorMessage="false" showInputMessage="false" sqref="H4:H100" type="list">
      <formula1>"Pending,Done - Interested,Done - Admitted,Done - Negotiating,Done - Not Interested,No-Show,Rescheduled,Cancelled"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25.5" hidden="false" customHeight="true" outlineLevel="0" collapsed="false">
      <c r="A1" s="24" t="s">
        <v>94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9.5" hidden="false" customHeight="true" outlineLevel="0" collapsed="false">
      <c r="A2" s="37" t="s">
        <v>95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36" hidden="false" customHeight="true" outlineLevel="0" collapsed="false">
      <c r="A3" s="8" t="s">
        <v>83</v>
      </c>
      <c r="B3" s="8" t="s">
        <v>13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</row>
    <row r="4" customFormat="false" ht="15" hidden="false" customHeight="false" outlineLevel="0" collapsed="false">
      <c r="A4" s="40" t="n">
        <v>46160</v>
      </c>
      <c r="B4" s="25" t="s">
        <v>18</v>
      </c>
      <c r="C4" s="25" t="n">
        <v>48</v>
      </c>
      <c r="D4" s="25" t="n">
        <v>22</v>
      </c>
      <c r="E4" s="41" t="n">
        <f aca="false">IFERROR(D4/C4,0)</f>
        <v>0.458333333333333</v>
      </c>
      <c r="F4" s="25" t="n">
        <v>6</v>
      </c>
      <c r="G4" s="25" t="n">
        <v>3</v>
      </c>
      <c r="H4" s="25" t="n">
        <v>8</v>
      </c>
      <c r="I4" s="25" t="n">
        <v>0</v>
      </c>
      <c r="J4" s="25" t="s">
        <v>104</v>
      </c>
    </row>
    <row r="5" customFormat="false" ht="23.85" hidden="false" customHeight="false" outlineLevel="0" collapsed="false">
      <c r="A5" s="42" t="n">
        <v>46160</v>
      </c>
      <c r="B5" s="31" t="s">
        <v>19</v>
      </c>
      <c r="C5" s="31" t="n">
        <v>42</v>
      </c>
      <c r="D5" s="31" t="n">
        <v>18</v>
      </c>
      <c r="E5" s="43" t="n">
        <f aca="false">IFERROR(D5/C5,0)</f>
        <v>0.428571428571429</v>
      </c>
      <c r="F5" s="31" t="n">
        <v>4</v>
      </c>
      <c r="G5" s="31" t="n">
        <v>2</v>
      </c>
      <c r="H5" s="31" t="n">
        <v>12</v>
      </c>
      <c r="I5" s="31" t="n">
        <v>1</v>
      </c>
      <c r="J5" s="31" t="s">
        <v>105</v>
      </c>
    </row>
    <row r="6" customFormat="false" ht="15" hidden="false" customHeight="false" outlineLevel="0" collapsed="false">
      <c r="A6" s="38"/>
      <c r="B6" s="25"/>
      <c r="C6" s="25"/>
      <c r="D6" s="25"/>
      <c r="E6" s="41" t="n">
        <f aca="false">IFERROR(D6/C6,0)</f>
        <v>0</v>
      </c>
      <c r="F6" s="25"/>
      <c r="G6" s="25"/>
      <c r="H6" s="25"/>
      <c r="I6" s="25"/>
      <c r="J6" s="25"/>
    </row>
    <row r="7" customFormat="false" ht="15" hidden="false" customHeight="false" outlineLevel="0" collapsed="false">
      <c r="A7" s="39"/>
      <c r="B7" s="31"/>
      <c r="C7" s="31"/>
      <c r="D7" s="31"/>
      <c r="E7" s="43" t="n">
        <f aca="false">IFERROR(D7/C7,0)</f>
        <v>0</v>
      </c>
      <c r="F7" s="31"/>
      <c r="G7" s="31"/>
      <c r="H7" s="31"/>
      <c r="I7" s="31"/>
      <c r="J7" s="31"/>
    </row>
    <row r="8" customFormat="false" ht="15" hidden="false" customHeight="false" outlineLevel="0" collapsed="false">
      <c r="A8" s="38"/>
      <c r="B8" s="25"/>
      <c r="C8" s="25"/>
      <c r="D8" s="25"/>
      <c r="E8" s="41" t="n">
        <f aca="false">IFERROR(D8/C8,0)</f>
        <v>0</v>
      </c>
      <c r="F8" s="25"/>
      <c r="G8" s="25"/>
      <c r="H8" s="25"/>
      <c r="I8" s="25"/>
      <c r="J8" s="25"/>
    </row>
    <row r="9" customFormat="false" ht="15" hidden="false" customHeight="false" outlineLevel="0" collapsed="false">
      <c r="A9" s="39"/>
      <c r="B9" s="31"/>
      <c r="C9" s="31"/>
      <c r="D9" s="31"/>
      <c r="E9" s="43" t="n">
        <f aca="false">IFERROR(D9/C9,0)</f>
        <v>0</v>
      </c>
      <c r="F9" s="31"/>
      <c r="G9" s="31"/>
      <c r="H9" s="31"/>
      <c r="I9" s="31"/>
      <c r="J9" s="31"/>
    </row>
    <row r="10" customFormat="false" ht="15" hidden="false" customHeight="false" outlineLevel="0" collapsed="false">
      <c r="A10" s="38"/>
      <c r="B10" s="25"/>
      <c r="C10" s="25"/>
      <c r="D10" s="25"/>
      <c r="E10" s="41" t="n">
        <f aca="false">IFERROR(D10/C10,0)</f>
        <v>0</v>
      </c>
      <c r="F10" s="25"/>
      <c r="G10" s="25"/>
      <c r="H10" s="25"/>
      <c r="I10" s="25"/>
      <c r="J10" s="25"/>
    </row>
    <row r="11" customFormat="false" ht="15" hidden="false" customHeight="false" outlineLevel="0" collapsed="false">
      <c r="A11" s="39"/>
      <c r="B11" s="31"/>
      <c r="C11" s="31"/>
      <c r="D11" s="31"/>
      <c r="E11" s="43" t="n">
        <f aca="false">IFERROR(D11/C11,0)</f>
        <v>0</v>
      </c>
      <c r="F11" s="31"/>
      <c r="G11" s="31"/>
      <c r="H11" s="31"/>
      <c r="I11" s="31"/>
      <c r="J11" s="31"/>
    </row>
    <row r="12" customFormat="false" ht="15" hidden="false" customHeight="false" outlineLevel="0" collapsed="false">
      <c r="A12" s="38"/>
      <c r="B12" s="25"/>
      <c r="C12" s="25"/>
      <c r="D12" s="25"/>
      <c r="E12" s="41" t="n">
        <f aca="false">IFERROR(D12/C12,0)</f>
        <v>0</v>
      </c>
      <c r="F12" s="25"/>
      <c r="G12" s="25"/>
      <c r="H12" s="25"/>
      <c r="I12" s="25"/>
      <c r="J12" s="25"/>
    </row>
    <row r="13" customFormat="false" ht="15" hidden="false" customHeight="false" outlineLevel="0" collapsed="false">
      <c r="A13" s="39"/>
      <c r="B13" s="31"/>
      <c r="C13" s="31"/>
      <c r="D13" s="31"/>
      <c r="E13" s="43" t="n">
        <f aca="false">IFERROR(D13/C13,0)</f>
        <v>0</v>
      </c>
      <c r="F13" s="31"/>
      <c r="G13" s="31"/>
      <c r="H13" s="31"/>
      <c r="I13" s="31"/>
      <c r="J13" s="31"/>
    </row>
    <row r="14" customFormat="false" ht="15" hidden="false" customHeight="false" outlineLevel="0" collapsed="false">
      <c r="A14" s="38"/>
      <c r="B14" s="25"/>
      <c r="C14" s="25"/>
      <c r="D14" s="25"/>
      <c r="E14" s="41" t="n">
        <f aca="false">IFERROR(D14/C14,0)</f>
        <v>0</v>
      </c>
      <c r="F14" s="25"/>
      <c r="G14" s="25"/>
      <c r="H14" s="25"/>
      <c r="I14" s="25"/>
      <c r="J14" s="25"/>
    </row>
    <row r="15" customFormat="false" ht="15" hidden="false" customHeight="false" outlineLevel="0" collapsed="false">
      <c r="A15" s="39"/>
      <c r="B15" s="31"/>
      <c r="C15" s="31"/>
      <c r="D15" s="31"/>
      <c r="E15" s="43" t="n">
        <f aca="false">IFERROR(D15/C15,0)</f>
        <v>0</v>
      </c>
      <c r="F15" s="31"/>
      <c r="G15" s="31"/>
      <c r="H15" s="31"/>
      <c r="I15" s="31"/>
      <c r="J15" s="31"/>
    </row>
    <row r="16" customFormat="false" ht="15" hidden="false" customHeight="false" outlineLevel="0" collapsed="false">
      <c r="A16" s="38"/>
      <c r="B16" s="25"/>
      <c r="C16" s="25"/>
      <c r="D16" s="25"/>
      <c r="E16" s="41" t="n">
        <f aca="false">IFERROR(D16/C16,0)</f>
        <v>0</v>
      </c>
      <c r="F16" s="25"/>
      <c r="G16" s="25"/>
      <c r="H16" s="25"/>
      <c r="I16" s="25"/>
      <c r="J16" s="25"/>
    </row>
    <row r="17" customFormat="false" ht="15" hidden="false" customHeight="false" outlineLevel="0" collapsed="false">
      <c r="A17" s="39"/>
      <c r="B17" s="31"/>
      <c r="C17" s="31"/>
      <c r="D17" s="31"/>
      <c r="E17" s="43" t="n">
        <f aca="false">IFERROR(D17/C17,0)</f>
        <v>0</v>
      </c>
      <c r="F17" s="31"/>
      <c r="G17" s="31"/>
      <c r="H17" s="31"/>
      <c r="I17" s="31"/>
      <c r="J17" s="31"/>
    </row>
    <row r="18" customFormat="false" ht="15" hidden="false" customHeight="false" outlineLevel="0" collapsed="false">
      <c r="A18" s="38"/>
      <c r="B18" s="25"/>
      <c r="C18" s="25"/>
      <c r="D18" s="25"/>
      <c r="E18" s="41" t="n">
        <f aca="false">IFERROR(D18/C18,0)</f>
        <v>0</v>
      </c>
      <c r="F18" s="25"/>
      <c r="G18" s="25"/>
      <c r="H18" s="25"/>
      <c r="I18" s="25"/>
      <c r="J18" s="25"/>
    </row>
    <row r="19" customFormat="false" ht="15" hidden="false" customHeight="false" outlineLevel="0" collapsed="false">
      <c r="A19" s="39"/>
      <c r="B19" s="31"/>
      <c r="C19" s="31"/>
      <c r="D19" s="31"/>
      <c r="E19" s="43" t="n">
        <f aca="false">IFERROR(D19/C19,0)</f>
        <v>0</v>
      </c>
      <c r="F19" s="31"/>
      <c r="G19" s="31"/>
      <c r="H19" s="31"/>
      <c r="I19" s="31"/>
      <c r="J19" s="31"/>
    </row>
    <row r="20" customFormat="false" ht="15" hidden="false" customHeight="false" outlineLevel="0" collapsed="false">
      <c r="A20" s="38"/>
      <c r="B20" s="25"/>
      <c r="C20" s="25"/>
      <c r="D20" s="25"/>
      <c r="E20" s="41" t="n">
        <f aca="false">IFERROR(D20/C20,0)</f>
        <v>0</v>
      </c>
      <c r="F20" s="25"/>
      <c r="G20" s="25"/>
      <c r="H20" s="25"/>
      <c r="I20" s="25"/>
      <c r="J20" s="25"/>
    </row>
    <row r="21" customFormat="false" ht="15" hidden="false" customHeight="false" outlineLevel="0" collapsed="false">
      <c r="A21" s="39"/>
      <c r="B21" s="31"/>
      <c r="C21" s="31"/>
      <c r="D21" s="31"/>
      <c r="E21" s="43" t="n">
        <f aca="false">IFERROR(D21/C21,0)</f>
        <v>0</v>
      </c>
      <c r="F21" s="31"/>
      <c r="G21" s="31"/>
      <c r="H21" s="31"/>
      <c r="I21" s="31"/>
      <c r="J21" s="31"/>
    </row>
    <row r="22" customFormat="false" ht="15" hidden="false" customHeight="false" outlineLevel="0" collapsed="false">
      <c r="A22" s="38"/>
      <c r="B22" s="25"/>
      <c r="C22" s="25"/>
      <c r="D22" s="25"/>
      <c r="E22" s="41" t="n">
        <f aca="false">IFERROR(D22/C22,0)</f>
        <v>0</v>
      </c>
      <c r="F22" s="25"/>
      <c r="G22" s="25"/>
      <c r="H22" s="25"/>
      <c r="I22" s="25"/>
      <c r="J22" s="25"/>
    </row>
    <row r="23" customFormat="false" ht="15" hidden="false" customHeight="false" outlineLevel="0" collapsed="false">
      <c r="A23" s="39"/>
      <c r="B23" s="31"/>
      <c r="C23" s="31"/>
      <c r="D23" s="31"/>
      <c r="E23" s="43" t="n">
        <f aca="false">IFERROR(D23/C23,0)</f>
        <v>0</v>
      </c>
      <c r="F23" s="31"/>
      <c r="G23" s="31"/>
      <c r="H23" s="31"/>
      <c r="I23" s="31"/>
      <c r="J23" s="31"/>
    </row>
    <row r="24" customFormat="false" ht="15" hidden="false" customHeight="false" outlineLevel="0" collapsed="false">
      <c r="A24" s="38"/>
      <c r="B24" s="25"/>
      <c r="C24" s="25"/>
      <c r="D24" s="25"/>
      <c r="E24" s="41" t="n">
        <f aca="false">IFERROR(D24/C24,0)</f>
        <v>0</v>
      </c>
      <c r="F24" s="25"/>
      <c r="G24" s="25"/>
      <c r="H24" s="25"/>
      <c r="I24" s="25"/>
      <c r="J24" s="25"/>
    </row>
    <row r="25" customFormat="false" ht="15" hidden="false" customHeight="false" outlineLevel="0" collapsed="false">
      <c r="A25" s="39"/>
      <c r="B25" s="31"/>
      <c r="C25" s="31"/>
      <c r="D25" s="31"/>
      <c r="E25" s="43" t="n">
        <f aca="false">IFERROR(D25/C25,0)</f>
        <v>0</v>
      </c>
      <c r="F25" s="31"/>
      <c r="G25" s="31"/>
      <c r="H25" s="31"/>
      <c r="I25" s="31"/>
      <c r="J25" s="31"/>
    </row>
    <row r="26" customFormat="false" ht="15" hidden="false" customHeight="false" outlineLevel="0" collapsed="false">
      <c r="A26" s="38"/>
      <c r="B26" s="25"/>
      <c r="C26" s="25"/>
      <c r="D26" s="25"/>
      <c r="E26" s="41" t="n">
        <f aca="false">IFERROR(D26/C26,0)</f>
        <v>0</v>
      </c>
      <c r="F26" s="25"/>
      <c r="G26" s="25"/>
      <c r="H26" s="25"/>
      <c r="I26" s="25"/>
      <c r="J26" s="25"/>
    </row>
    <row r="27" customFormat="false" ht="15" hidden="false" customHeight="false" outlineLevel="0" collapsed="false">
      <c r="A27" s="39"/>
      <c r="B27" s="31"/>
      <c r="C27" s="31"/>
      <c r="D27" s="31"/>
      <c r="E27" s="43" t="n">
        <f aca="false">IFERROR(D27/C27,0)</f>
        <v>0</v>
      </c>
      <c r="F27" s="31"/>
      <c r="G27" s="31"/>
      <c r="H27" s="31"/>
      <c r="I27" s="31"/>
      <c r="J27" s="31"/>
    </row>
    <row r="28" customFormat="false" ht="15" hidden="false" customHeight="false" outlineLevel="0" collapsed="false">
      <c r="A28" s="38"/>
      <c r="B28" s="25"/>
      <c r="C28" s="25"/>
      <c r="D28" s="25"/>
      <c r="E28" s="41" t="n">
        <f aca="false">IFERROR(D28/C28,0)</f>
        <v>0</v>
      </c>
      <c r="F28" s="25"/>
      <c r="G28" s="25"/>
      <c r="H28" s="25"/>
      <c r="I28" s="25"/>
      <c r="J28" s="25"/>
    </row>
    <row r="29" customFormat="false" ht="15" hidden="false" customHeight="false" outlineLevel="0" collapsed="false">
      <c r="A29" s="39"/>
      <c r="B29" s="31"/>
      <c r="C29" s="31"/>
      <c r="D29" s="31"/>
      <c r="E29" s="43" t="n">
        <f aca="false">IFERROR(D29/C29,0)</f>
        <v>0</v>
      </c>
      <c r="F29" s="31"/>
      <c r="G29" s="31"/>
      <c r="H29" s="31"/>
      <c r="I29" s="31"/>
      <c r="J29" s="31"/>
    </row>
    <row r="30" customFormat="false" ht="15" hidden="false" customHeight="false" outlineLevel="0" collapsed="false">
      <c r="A30" s="38"/>
      <c r="B30" s="25"/>
      <c r="C30" s="25"/>
      <c r="D30" s="25"/>
      <c r="E30" s="41" t="n">
        <f aca="false">IFERROR(D30/C30,0)</f>
        <v>0</v>
      </c>
      <c r="F30" s="25"/>
      <c r="G30" s="25"/>
      <c r="H30" s="25"/>
      <c r="I30" s="25"/>
      <c r="J30" s="25"/>
    </row>
    <row r="31" customFormat="false" ht="15" hidden="false" customHeight="false" outlineLevel="0" collapsed="false">
      <c r="A31" s="39"/>
      <c r="B31" s="31"/>
      <c r="C31" s="31"/>
      <c r="D31" s="31"/>
      <c r="E31" s="43" t="n">
        <f aca="false">IFERROR(D31/C31,0)</f>
        <v>0</v>
      </c>
      <c r="F31" s="31"/>
      <c r="G31" s="31"/>
      <c r="H31" s="31"/>
      <c r="I31" s="31"/>
      <c r="J31" s="31"/>
    </row>
    <row r="32" customFormat="false" ht="15" hidden="false" customHeight="false" outlineLevel="0" collapsed="false">
      <c r="A32" s="38"/>
      <c r="B32" s="25"/>
      <c r="C32" s="25"/>
      <c r="D32" s="25"/>
      <c r="E32" s="41" t="n">
        <f aca="false">IFERROR(D32/C32,0)</f>
        <v>0</v>
      </c>
      <c r="F32" s="25"/>
      <c r="G32" s="25"/>
      <c r="H32" s="25"/>
      <c r="I32" s="25"/>
      <c r="J32" s="25"/>
    </row>
    <row r="33" customFormat="false" ht="15" hidden="false" customHeight="false" outlineLevel="0" collapsed="false">
      <c r="A33" s="39"/>
      <c r="B33" s="31"/>
      <c r="C33" s="31"/>
      <c r="D33" s="31"/>
      <c r="E33" s="43" t="n">
        <f aca="false">IFERROR(D33/C33,0)</f>
        <v>0</v>
      </c>
      <c r="F33" s="31"/>
      <c r="G33" s="31"/>
      <c r="H33" s="31"/>
      <c r="I33" s="31"/>
      <c r="J33" s="31"/>
    </row>
    <row r="34" customFormat="false" ht="15" hidden="false" customHeight="false" outlineLevel="0" collapsed="false">
      <c r="A34" s="38"/>
      <c r="B34" s="25"/>
      <c r="C34" s="25"/>
      <c r="D34" s="25"/>
      <c r="E34" s="41" t="n">
        <f aca="false">IFERROR(D34/C34,0)</f>
        <v>0</v>
      </c>
      <c r="F34" s="25"/>
      <c r="G34" s="25"/>
      <c r="H34" s="25"/>
      <c r="I34" s="25"/>
      <c r="J34" s="25"/>
    </row>
    <row r="35" customFormat="false" ht="15" hidden="false" customHeight="false" outlineLevel="0" collapsed="false">
      <c r="A35" s="39"/>
      <c r="B35" s="31"/>
      <c r="C35" s="31"/>
      <c r="D35" s="31"/>
      <c r="E35" s="43" t="n">
        <f aca="false">IFERROR(D35/C35,0)</f>
        <v>0</v>
      </c>
      <c r="F35" s="31"/>
      <c r="G35" s="31"/>
      <c r="H35" s="31"/>
      <c r="I35" s="31"/>
      <c r="J35" s="31"/>
    </row>
    <row r="36" customFormat="false" ht="15" hidden="false" customHeight="false" outlineLevel="0" collapsed="false">
      <c r="A36" s="38"/>
      <c r="B36" s="25"/>
      <c r="C36" s="25"/>
      <c r="D36" s="25"/>
      <c r="E36" s="41" t="n">
        <f aca="false">IFERROR(D36/C36,0)</f>
        <v>0</v>
      </c>
      <c r="F36" s="25"/>
      <c r="G36" s="25"/>
      <c r="H36" s="25"/>
      <c r="I36" s="25"/>
      <c r="J36" s="25"/>
    </row>
    <row r="37" customFormat="false" ht="15" hidden="false" customHeight="false" outlineLevel="0" collapsed="false">
      <c r="A37" s="39"/>
      <c r="B37" s="31"/>
      <c r="C37" s="31"/>
      <c r="D37" s="31"/>
      <c r="E37" s="43" t="n">
        <f aca="false">IFERROR(D37/C37,0)</f>
        <v>0</v>
      </c>
      <c r="F37" s="31"/>
      <c r="G37" s="31"/>
      <c r="H37" s="31"/>
      <c r="I37" s="31"/>
      <c r="J37" s="31"/>
    </row>
    <row r="38" customFormat="false" ht="15" hidden="false" customHeight="false" outlineLevel="0" collapsed="false">
      <c r="A38" s="38"/>
      <c r="B38" s="25"/>
      <c r="C38" s="25"/>
      <c r="D38" s="25"/>
      <c r="E38" s="41" t="n">
        <f aca="false">IFERROR(D38/C38,0)</f>
        <v>0</v>
      </c>
      <c r="F38" s="25"/>
      <c r="G38" s="25"/>
      <c r="H38" s="25"/>
      <c r="I38" s="25"/>
      <c r="J38" s="25"/>
    </row>
    <row r="39" customFormat="false" ht="15" hidden="false" customHeight="false" outlineLevel="0" collapsed="false">
      <c r="A39" s="39"/>
      <c r="B39" s="31"/>
      <c r="C39" s="31"/>
      <c r="D39" s="31"/>
      <c r="E39" s="43" t="n">
        <f aca="false">IFERROR(D39/C39,0)</f>
        <v>0</v>
      </c>
      <c r="F39" s="31"/>
      <c r="G39" s="31"/>
      <c r="H39" s="31"/>
      <c r="I39" s="31"/>
      <c r="J39" s="31"/>
    </row>
    <row r="40" customFormat="false" ht="15" hidden="false" customHeight="false" outlineLevel="0" collapsed="false">
      <c r="A40" s="38"/>
      <c r="B40" s="25"/>
      <c r="C40" s="25"/>
      <c r="D40" s="25"/>
      <c r="E40" s="41" t="n">
        <f aca="false">IFERROR(D40/C40,0)</f>
        <v>0</v>
      </c>
      <c r="F40" s="25"/>
      <c r="G40" s="25"/>
      <c r="H40" s="25"/>
      <c r="I40" s="25"/>
      <c r="J40" s="25"/>
    </row>
    <row r="41" customFormat="false" ht="15" hidden="false" customHeight="false" outlineLevel="0" collapsed="false">
      <c r="A41" s="39"/>
      <c r="B41" s="31"/>
      <c r="C41" s="31"/>
      <c r="D41" s="31"/>
      <c r="E41" s="43" t="n">
        <f aca="false">IFERROR(D41/C41,0)</f>
        <v>0</v>
      </c>
      <c r="F41" s="31"/>
      <c r="G41" s="31"/>
      <c r="H41" s="31"/>
      <c r="I41" s="31"/>
      <c r="J41" s="31"/>
    </row>
    <row r="42" customFormat="false" ht="15" hidden="false" customHeight="false" outlineLevel="0" collapsed="false">
      <c r="A42" s="38"/>
      <c r="B42" s="25"/>
      <c r="C42" s="25"/>
      <c r="D42" s="25"/>
      <c r="E42" s="41" t="n">
        <f aca="false">IFERROR(D42/C42,0)</f>
        <v>0</v>
      </c>
      <c r="F42" s="25"/>
      <c r="G42" s="25"/>
      <c r="H42" s="25"/>
      <c r="I42" s="25"/>
      <c r="J42" s="25"/>
    </row>
    <row r="43" customFormat="false" ht="15" hidden="false" customHeight="false" outlineLevel="0" collapsed="false">
      <c r="A43" s="39"/>
      <c r="B43" s="31"/>
      <c r="C43" s="31"/>
      <c r="D43" s="31"/>
      <c r="E43" s="43" t="n">
        <f aca="false">IFERROR(D43/C43,0)</f>
        <v>0</v>
      </c>
      <c r="F43" s="31"/>
      <c r="G43" s="31"/>
      <c r="H43" s="31"/>
      <c r="I43" s="31"/>
      <c r="J43" s="31"/>
    </row>
    <row r="44" customFormat="false" ht="15" hidden="false" customHeight="false" outlineLevel="0" collapsed="false">
      <c r="A44" s="38"/>
      <c r="B44" s="25"/>
      <c r="C44" s="25"/>
      <c r="D44" s="25"/>
      <c r="E44" s="41" t="n">
        <f aca="false">IFERROR(D44/C44,0)</f>
        <v>0</v>
      </c>
      <c r="F44" s="25"/>
      <c r="G44" s="25"/>
      <c r="H44" s="25"/>
      <c r="I44" s="25"/>
      <c r="J44" s="25"/>
    </row>
    <row r="45" customFormat="false" ht="15" hidden="false" customHeight="false" outlineLevel="0" collapsed="false">
      <c r="A45" s="39"/>
      <c r="B45" s="31"/>
      <c r="C45" s="31"/>
      <c r="D45" s="31"/>
      <c r="E45" s="43" t="n">
        <f aca="false">IFERROR(D45/C45,0)</f>
        <v>0</v>
      </c>
      <c r="F45" s="31"/>
      <c r="G45" s="31"/>
      <c r="H45" s="31"/>
      <c r="I45" s="31"/>
      <c r="J45" s="31"/>
    </row>
    <row r="46" customFormat="false" ht="15" hidden="false" customHeight="false" outlineLevel="0" collapsed="false">
      <c r="A46" s="38"/>
      <c r="B46" s="25"/>
      <c r="C46" s="25"/>
      <c r="D46" s="25"/>
      <c r="E46" s="41" t="n">
        <f aca="false">IFERROR(D46/C46,0)</f>
        <v>0</v>
      </c>
      <c r="F46" s="25"/>
      <c r="G46" s="25"/>
      <c r="H46" s="25"/>
      <c r="I46" s="25"/>
      <c r="J46" s="25"/>
    </row>
    <row r="47" customFormat="false" ht="15" hidden="false" customHeight="false" outlineLevel="0" collapsed="false">
      <c r="A47" s="39"/>
      <c r="B47" s="31"/>
      <c r="C47" s="31"/>
      <c r="D47" s="31"/>
      <c r="E47" s="43" t="n">
        <f aca="false">IFERROR(D47/C47,0)</f>
        <v>0</v>
      </c>
      <c r="F47" s="31"/>
      <c r="G47" s="31"/>
      <c r="H47" s="31"/>
      <c r="I47" s="31"/>
      <c r="J47" s="31"/>
    </row>
    <row r="48" customFormat="false" ht="15" hidden="false" customHeight="false" outlineLevel="0" collapsed="false">
      <c r="A48" s="38"/>
      <c r="B48" s="25"/>
      <c r="C48" s="25"/>
      <c r="D48" s="25"/>
      <c r="E48" s="41" t="n">
        <f aca="false">IFERROR(D48/C48,0)</f>
        <v>0</v>
      </c>
      <c r="F48" s="25"/>
      <c r="G48" s="25"/>
      <c r="H48" s="25"/>
      <c r="I48" s="25"/>
      <c r="J48" s="25"/>
    </row>
    <row r="49" customFormat="false" ht="15" hidden="false" customHeight="false" outlineLevel="0" collapsed="false">
      <c r="A49" s="39"/>
      <c r="B49" s="31"/>
      <c r="C49" s="31"/>
      <c r="D49" s="31"/>
      <c r="E49" s="43" t="n">
        <f aca="false">IFERROR(D49/C49,0)</f>
        <v>0</v>
      </c>
      <c r="F49" s="31"/>
      <c r="G49" s="31"/>
      <c r="H49" s="31"/>
      <c r="I49" s="31"/>
      <c r="J49" s="31"/>
    </row>
    <row r="50" customFormat="false" ht="15" hidden="false" customHeight="false" outlineLevel="0" collapsed="false">
      <c r="A50" s="38"/>
      <c r="B50" s="25"/>
      <c r="C50" s="25"/>
      <c r="D50" s="25"/>
      <c r="E50" s="41" t="n">
        <f aca="false">IFERROR(D50/C50,0)</f>
        <v>0</v>
      </c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39"/>
      <c r="B51" s="31"/>
      <c r="C51" s="31"/>
      <c r="D51" s="31"/>
      <c r="E51" s="43" t="n">
        <f aca="false">IFERROR(D51/C51,0)</f>
        <v>0</v>
      </c>
      <c r="F51" s="31"/>
      <c r="G51" s="31"/>
      <c r="H51" s="31"/>
      <c r="I51" s="31"/>
      <c r="J51" s="31"/>
    </row>
    <row r="52" customFormat="false" ht="15" hidden="false" customHeight="false" outlineLevel="0" collapsed="false">
      <c r="A52" s="38"/>
      <c r="B52" s="25"/>
      <c r="C52" s="25"/>
      <c r="D52" s="25"/>
      <c r="E52" s="41" t="n">
        <f aca="false">IFERROR(D52/C52,0)</f>
        <v>0</v>
      </c>
      <c r="F52" s="25"/>
      <c r="G52" s="25"/>
      <c r="H52" s="25"/>
      <c r="I52" s="25"/>
      <c r="J52" s="25"/>
    </row>
    <row r="53" customFormat="false" ht="15" hidden="false" customHeight="false" outlineLevel="0" collapsed="false">
      <c r="A53" s="39"/>
      <c r="B53" s="31"/>
      <c r="C53" s="31"/>
      <c r="D53" s="31"/>
      <c r="E53" s="43" t="n">
        <f aca="false">IFERROR(D53/C53,0)</f>
        <v>0</v>
      </c>
      <c r="F53" s="31"/>
      <c r="G53" s="31"/>
      <c r="H53" s="31"/>
      <c r="I53" s="31"/>
      <c r="J53" s="31"/>
    </row>
    <row r="54" customFormat="false" ht="15" hidden="false" customHeight="false" outlineLevel="0" collapsed="false">
      <c r="A54" s="38"/>
      <c r="B54" s="25"/>
      <c r="C54" s="25"/>
      <c r="D54" s="25"/>
      <c r="E54" s="41" t="n">
        <f aca="false">IFERROR(D54/C54,0)</f>
        <v>0</v>
      </c>
      <c r="F54" s="25"/>
      <c r="G54" s="25"/>
      <c r="H54" s="25"/>
      <c r="I54" s="25"/>
      <c r="J54" s="25"/>
    </row>
    <row r="55" customFormat="false" ht="15" hidden="false" customHeight="false" outlineLevel="0" collapsed="false">
      <c r="A55" s="39"/>
      <c r="B55" s="31"/>
      <c r="C55" s="31"/>
      <c r="D55" s="31"/>
      <c r="E55" s="43" t="n">
        <f aca="false">IFERROR(D55/C55,0)</f>
        <v>0</v>
      </c>
      <c r="F55" s="31"/>
      <c r="G55" s="31"/>
      <c r="H55" s="31"/>
      <c r="I55" s="31"/>
      <c r="J55" s="31"/>
    </row>
    <row r="56" customFormat="false" ht="15" hidden="false" customHeight="false" outlineLevel="0" collapsed="false">
      <c r="A56" s="38"/>
      <c r="B56" s="25"/>
      <c r="C56" s="25"/>
      <c r="D56" s="25"/>
      <c r="E56" s="41" t="n">
        <f aca="false">IFERROR(D56/C56,0)</f>
        <v>0</v>
      </c>
      <c r="F56" s="25"/>
      <c r="G56" s="25"/>
      <c r="H56" s="25"/>
      <c r="I56" s="25"/>
      <c r="J56" s="25"/>
    </row>
    <row r="57" customFormat="false" ht="15" hidden="false" customHeight="false" outlineLevel="0" collapsed="false">
      <c r="A57" s="39"/>
      <c r="B57" s="31"/>
      <c r="C57" s="31"/>
      <c r="D57" s="31"/>
      <c r="E57" s="43" t="n">
        <f aca="false">IFERROR(D57/C57,0)</f>
        <v>0</v>
      </c>
      <c r="F57" s="31"/>
      <c r="G57" s="31"/>
      <c r="H57" s="31"/>
      <c r="I57" s="31"/>
      <c r="J57" s="31"/>
    </row>
    <row r="58" customFormat="false" ht="15" hidden="false" customHeight="false" outlineLevel="0" collapsed="false">
      <c r="A58" s="38"/>
      <c r="B58" s="25"/>
      <c r="C58" s="25"/>
      <c r="D58" s="25"/>
      <c r="E58" s="41" t="n">
        <f aca="false">IFERROR(D58/C58,0)</f>
        <v>0</v>
      </c>
      <c r="F58" s="25"/>
      <c r="G58" s="25"/>
      <c r="H58" s="25"/>
      <c r="I58" s="25"/>
      <c r="J58" s="25"/>
    </row>
    <row r="59" customFormat="false" ht="15" hidden="false" customHeight="false" outlineLevel="0" collapsed="false">
      <c r="A59" s="39"/>
      <c r="B59" s="31"/>
      <c r="C59" s="31"/>
      <c r="D59" s="31"/>
      <c r="E59" s="43" t="n">
        <f aca="false">IFERROR(D59/C59,0)</f>
        <v>0</v>
      </c>
      <c r="F59" s="31"/>
      <c r="G59" s="31"/>
      <c r="H59" s="31"/>
      <c r="I59" s="31"/>
      <c r="J59" s="31"/>
    </row>
    <row r="60" customFormat="false" ht="15" hidden="false" customHeight="false" outlineLevel="0" collapsed="false">
      <c r="A60" s="38"/>
      <c r="B60" s="25"/>
      <c r="C60" s="25"/>
      <c r="D60" s="25"/>
      <c r="E60" s="41" t="n">
        <f aca="false">IFERROR(D60/C60,0)</f>
        <v>0</v>
      </c>
      <c r="F60" s="25"/>
      <c r="G60" s="25"/>
      <c r="H60" s="25"/>
      <c r="I60" s="25"/>
      <c r="J60" s="25"/>
    </row>
    <row r="61" customFormat="false" ht="15" hidden="false" customHeight="false" outlineLevel="0" collapsed="false">
      <c r="A61" s="39"/>
      <c r="B61" s="31"/>
      <c r="C61" s="31"/>
      <c r="D61" s="31"/>
      <c r="E61" s="43" t="n">
        <f aca="false">IFERROR(D61/C61,0)</f>
        <v>0</v>
      </c>
      <c r="F61" s="31"/>
      <c r="G61" s="31"/>
      <c r="H61" s="31"/>
      <c r="I61" s="31"/>
      <c r="J61" s="31"/>
    </row>
    <row r="62" customFormat="false" ht="15" hidden="false" customHeight="false" outlineLevel="0" collapsed="false">
      <c r="A62" s="38"/>
      <c r="B62" s="25"/>
      <c r="C62" s="25"/>
      <c r="D62" s="25"/>
      <c r="E62" s="41" t="n">
        <f aca="false">IFERROR(D62/C62,0)</f>
        <v>0</v>
      </c>
      <c r="F62" s="25"/>
      <c r="G62" s="25"/>
      <c r="H62" s="25"/>
      <c r="I62" s="25"/>
      <c r="J62" s="25"/>
    </row>
    <row r="63" customFormat="false" ht="15" hidden="false" customHeight="false" outlineLevel="0" collapsed="false">
      <c r="A63" s="39"/>
      <c r="B63" s="31"/>
      <c r="C63" s="31"/>
      <c r="D63" s="31"/>
      <c r="E63" s="43" t="n">
        <f aca="false">IFERROR(D63/C63,0)</f>
        <v>0</v>
      </c>
      <c r="F63" s="31"/>
      <c r="G63" s="31"/>
      <c r="H63" s="31"/>
      <c r="I63" s="31"/>
      <c r="J63" s="31"/>
    </row>
    <row r="64" customFormat="false" ht="15" hidden="false" customHeight="false" outlineLevel="0" collapsed="false">
      <c r="A64" s="38"/>
      <c r="B64" s="25"/>
      <c r="C64" s="25"/>
      <c r="D64" s="25"/>
      <c r="E64" s="41" t="n">
        <f aca="false">IFERROR(D64/C64,0)</f>
        <v>0</v>
      </c>
      <c r="F64" s="25"/>
      <c r="G64" s="25"/>
      <c r="H64" s="25"/>
      <c r="I64" s="25"/>
      <c r="J64" s="25"/>
    </row>
    <row r="65" customFormat="false" ht="15" hidden="false" customHeight="false" outlineLevel="0" collapsed="false">
      <c r="A65" s="39"/>
      <c r="B65" s="31"/>
      <c r="C65" s="31"/>
      <c r="D65" s="31"/>
      <c r="E65" s="43" t="n">
        <f aca="false">IFERROR(D65/C65,0)</f>
        <v>0</v>
      </c>
      <c r="F65" s="31"/>
      <c r="G65" s="31"/>
      <c r="H65" s="31"/>
      <c r="I65" s="31"/>
      <c r="J65" s="31"/>
    </row>
    <row r="66" customFormat="false" ht="15" hidden="false" customHeight="false" outlineLevel="0" collapsed="false">
      <c r="A66" s="38"/>
      <c r="B66" s="25"/>
      <c r="C66" s="25"/>
      <c r="D66" s="25"/>
      <c r="E66" s="41" t="n">
        <f aca="false">IFERROR(D66/C66,0)</f>
        <v>0</v>
      </c>
      <c r="F66" s="25"/>
      <c r="G66" s="25"/>
      <c r="H66" s="25"/>
      <c r="I66" s="25"/>
      <c r="J66" s="25"/>
    </row>
    <row r="67" customFormat="false" ht="15" hidden="false" customHeight="false" outlineLevel="0" collapsed="false">
      <c r="A67" s="39"/>
      <c r="B67" s="31"/>
      <c r="C67" s="31"/>
      <c r="D67" s="31"/>
      <c r="E67" s="43" t="n">
        <f aca="false">IFERROR(D67/C67,0)</f>
        <v>0</v>
      </c>
      <c r="F67" s="31"/>
      <c r="G67" s="31"/>
      <c r="H67" s="31"/>
      <c r="I67" s="31"/>
      <c r="J67" s="31"/>
    </row>
    <row r="68" customFormat="false" ht="15" hidden="false" customHeight="false" outlineLevel="0" collapsed="false">
      <c r="A68" s="38"/>
      <c r="B68" s="25"/>
      <c r="C68" s="25"/>
      <c r="D68" s="25"/>
      <c r="E68" s="41" t="n">
        <f aca="false">IFERROR(D68/C68,0)</f>
        <v>0</v>
      </c>
      <c r="F68" s="25"/>
      <c r="G68" s="25"/>
      <c r="H68" s="25"/>
      <c r="I68" s="25"/>
      <c r="J68" s="25"/>
    </row>
    <row r="69" customFormat="false" ht="15" hidden="false" customHeight="false" outlineLevel="0" collapsed="false">
      <c r="A69" s="39"/>
      <c r="B69" s="31"/>
      <c r="C69" s="31"/>
      <c r="D69" s="31"/>
      <c r="E69" s="43" t="n">
        <f aca="false">IFERROR(D69/C69,0)</f>
        <v>0</v>
      </c>
      <c r="F69" s="31"/>
      <c r="G69" s="31"/>
      <c r="H69" s="31"/>
      <c r="I69" s="31"/>
      <c r="J69" s="31"/>
    </row>
    <row r="70" customFormat="false" ht="15" hidden="false" customHeight="false" outlineLevel="0" collapsed="false">
      <c r="A70" s="38"/>
      <c r="B70" s="25"/>
      <c r="C70" s="25"/>
      <c r="D70" s="25"/>
      <c r="E70" s="41" t="n">
        <f aca="false">IFERROR(D70/C70,0)</f>
        <v>0</v>
      </c>
      <c r="F70" s="25"/>
      <c r="G70" s="25"/>
      <c r="H70" s="25"/>
      <c r="I70" s="25"/>
      <c r="J70" s="25"/>
    </row>
    <row r="71" customFormat="false" ht="15" hidden="false" customHeight="false" outlineLevel="0" collapsed="false">
      <c r="A71" s="39"/>
      <c r="B71" s="31"/>
      <c r="C71" s="31"/>
      <c r="D71" s="31"/>
      <c r="E71" s="43" t="n">
        <f aca="false">IFERROR(D71/C71,0)</f>
        <v>0</v>
      </c>
      <c r="F71" s="31"/>
      <c r="G71" s="31"/>
      <c r="H71" s="31"/>
      <c r="I71" s="31"/>
      <c r="J71" s="31"/>
    </row>
    <row r="72" customFormat="false" ht="15" hidden="false" customHeight="false" outlineLevel="0" collapsed="false">
      <c r="A72" s="38"/>
      <c r="B72" s="25"/>
      <c r="C72" s="25"/>
      <c r="D72" s="25"/>
      <c r="E72" s="41" t="n">
        <f aca="false">IFERROR(D72/C72,0)</f>
        <v>0</v>
      </c>
      <c r="F72" s="25"/>
      <c r="G72" s="25"/>
      <c r="H72" s="25"/>
      <c r="I72" s="25"/>
      <c r="J72" s="25"/>
    </row>
    <row r="73" customFormat="false" ht="15" hidden="false" customHeight="false" outlineLevel="0" collapsed="false">
      <c r="A73" s="39"/>
      <c r="B73" s="31"/>
      <c r="C73" s="31"/>
      <c r="D73" s="31"/>
      <c r="E73" s="43" t="n">
        <f aca="false">IFERROR(D73/C73,0)</f>
        <v>0</v>
      </c>
      <c r="F73" s="31"/>
      <c r="G73" s="31"/>
      <c r="H73" s="31"/>
      <c r="I73" s="31"/>
      <c r="J73" s="31"/>
    </row>
    <row r="74" customFormat="false" ht="15" hidden="false" customHeight="false" outlineLevel="0" collapsed="false">
      <c r="A74" s="38"/>
      <c r="B74" s="25"/>
      <c r="C74" s="25"/>
      <c r="D74" s="25"/>
      <c r="E74" s="41" t="n">
        <f aca="false">IFERROR(D74/C74,0)</f>
        <v>0</v>
      </c>
      <c r="F74" s="25"/>
      <c r="G74" s="25"/>
      <c r="H74" s="25"/>
      <c r="I74" s="25"/>
      <c r="J74" s="25"/>
    </row>
    <row r="75" customFormat="false" ht="15" hidden="false" customHeight="false" outlineLevel="0" collapsed="false">
      <c r="A75" s="39"/>
      <c r="B75" s="31"/>
      <c r="C75" s="31"/>
      <c r="D75" s="31"/>
      <c r="E75" s="43" t="n">
        <f aca="false">IFERROR(D75/C75,0)</f>
        <v>0</v>
      </c>
      <c r="F75" s="31"/>
      <c r="G75" s="31"/>
      <c r="H75" s="31"/>
      <c r="I75" s="31"/>
      <c r="J75" s="31"/>
    </row>
    <row r="76" customFormat="false" ht="15" hidden="false" customHeight="false" outlineLevel="0" collapsed="false">
      <c r="A76" s="38"/>
      <c r="B76" s="25"/>
      <c r="C76" s="25"/>
      <c r="D76" s="25"/>
      <c r="E76" s="41" t="n">
        <f aca="false">IFERROR(D76/C76,0)</f>
        <v>0</v>
      </c>
      <c r="F76" s="25"/>
      <c r="G76" s="25"/>
      <c r="H76" s="25"/>
      <c r="I76" s="25"/>
      <c r="J76" s="25"/>
    </row>
    <row r="77" customFormat="false" ht="15" hidden="false" customHeight="false" outlineLevel="0" collapsed="false">
      <c r="A77" s="39"/>
      <c r="B77" s="31"/>
      <c r="C77" s="31"/>
      <c r="D77" s="31"/>
      <c r="E77" s="43" t="n">
        <f aca="false">IFERROR(D77/C77,0)</f>
        <v>0</v>
      </c>
      <c r="F77" s="31"/>
      <c r="G77" s="31"/>
      <c r="H77" s="31"/>
      <c r="I77" s="31"/>
      <c r="J77" s="31"/>
    </row>
    <row r="78" customFormat="false" ht="15" hidden="false" customHeight="false" outlineLevel="0" collapsed="false">
      <c r="A78" s="38"/>
      <c r="B78" s="25"/>
      <c r="C78" s="25"/>
      <c r="D78" s="25"/>
      <c r="E78" s="41" t="n">
        <f aca="false">IFERROR(D78/C78,0)</f>
        <v>0</v>
      </c>
      <c r="F78" s="25"/>
      <c r="G78" s="25"/>
      <c r="H78" s="25"/>
      <c r="I78" s="25"/>
      <c r="J78" s="25"/>
    </row>
    <row r="79" customFormat="false" ht="15" hidden="false" customHeight="false" outlineLevel="0" collapsed="false">
      <c r="A79" s="39"/>
      <c r="B79" s="31"/>
      <c r="C79" s="31"/>
      <c r="D79" s="31"/>
      <c r="E79" s="43" t="n">
        <f aca="false">IFERROR(D79/C79,0)</f>
        <v>0</v>
      </c>
      <c r="F79" s="31"/>
      <c r="G79" s="31"/>
      <c r="H79" s="31"/>
      <c r="I79" s="31"/>
      <c r="J79" s="31"/>
    </row>
    <row r="80" customFormat="false" ht="15" hidden="false" customHeight="false" outlineLevel="0" collapsed="false">
      <c r="A80" s="38"/>
      <c r="B80" s="25"/>
      <c r="C80" s="25"/>
      <c r="D80" s="25"/>
      <c r="E80" s="41" t="n">
        <f aca="false">IFERROR(D80/C80,0)</f>
        <v>0</v>
      </c>
      <c r="F80" s="25"/>
      <c r="G80" s="25"/>
      <c r="H80" s="25"/>
      <c r="I80" s="25"/>
      <c r="J80" s="25"/>
    </row>
    <row r="81" customFormat="false" ht="15" hidden="false" customHeight="false" outlineLevel="0" collapsed="false">
      <c r="A81" s="39"/>
      <c r="B81" s="31"/>
      <c r="C81" s="31"/>
      <c r="D81" s="31"/>
      <c r="E81" s="43" t="n">
        <f aca="false">IFERROR(D81/C81,0)</f>
        <v>0</v>
      </c>
      <c r="F81" s="31"/>
      <c r="G81" s="31"/>
      <c r="H81" s="31"/>
      <c r="I81" s="31"/>
      <c r="J81" s="31"/>
    </row>
    <row r="82" customFormat="false" ht="15" hidden="false" customHeight="false" outlineLevel="0" collapsed="false">
      <c r="A82" s="38"/>
      <c r="B82" s="25"/>
      <c r="C82" s="25"/>
      <c r="D82" s="25"/>
      <c r="E82" s="41" t="n">
        <f aca="false">IFERROR(D82/C82,0)</f>
        <v>0</v>
      </c>
      <c r="F82" s="25"/>
      <c r="G82" s="25"/>
      <c r="H82" s="25"/>
      <c r="I82" s="25"/>
      <c r="J82" s="25"/>
    </row>
    <row r="83" customFormat="false" ht="15" hidden="false" customHeight="false" outlineLevel="0" collapsed="false">
      <c r="A83" s="39"/>
      <c r="B83" s="31"/>
      <c r="C83" s="31"/>
      <c r="D83" s="31"/>
      <c r="E83" s="43" t="n">
        <f aca="false">IFERROR(D83/C83,0)</f>
        <v>0</v>
      </c>
      <c r="F83" s="31"/>
      <c r="G83" s="31"/>
      <c r="H83" s="31"/>
      <c r="I83" s="31"/>
      <c r="J83" s="31"/>
    </row>
    <row r="84" customFormat="false" ht="15" hidden="false" customHeight="false" outlineLevel="0" collapsed="false">
      <c r="A84" s="38"/>
      <c r="B84" s="25"/>
      <c r="C84" s="25"/>
      <c r="D84" s="25"/>
      <c r="E84" s="41" t="n">
        <f aca="false">IFERROR(D84/C84,0)</f>
        <v>0</v>
      </c>
      <c r="F84" s="25"/>
      <c r="G84" s="25"/>
      <c r="H84" s="25"/>
      <c r="I84" s="25"/>
      <c r="J84" s="25"/>
    </row>
    <row r="85" customFormat="false" ht="15" hidden="false" customHeight="false" outlineLevel="0" collapsed="false">
      <c r="A85" s="39"/>
      <c r="B85" s="31"/>
      <c r="C85" s="31"/>
      <c r="D85" s="31"/>
      <c r="E85" s="43" t="n">
        <f aca="false">IFERROR(D85/C85,0)</f>
        <v>0</v>
      </c>
      <c r="F85" s="31"/>
      <c r="G85" s="31"/>
      <c r="H85" s="31"/>
      <c r="I85" s="31"/>
      <c r="J85" s="31"/>
    </row>
    <row r="86" customFormat="false" ht="15" hidden="false" customHeight="false" outlineLevel="0" collapsed="false">
      <c r="A86" s="38"/>
      <c r="B86" s="25"/>
      <c r="C86" s="25"/>
      <c r="D86" s="25"/>
      <c r="E86" s="41" t="n">
        <f aca="false">IFERROR(D86/C86,0)</f>
        <v>0</v>
      </c>
      <c r="F86" s="25"/>
      <c r="G86" s="25"/>
      <c r="H86" s="25"/>
      <c r="I86" s="25"/>
      <c r="J86" s="25"/>
    </row>
    <row r="87" customFormat="false" ht="15" hidden="false" customHeight="false" outlineLevel="0" collapsed="false">
      <c r="A87" s="39"/>
      <c r="B87" s="31"/>
      <c r="C87" s="31"/>
      <c r="D87" s="31"/>
      <c r="E87" s="43" t="n">
        <f aca="false">IFERROR(D87/C87,0)</f>
        <v>0</v>
      </c>
      <c r="F87" s="31"/>
      <c r="G87" s="31"/>
      <c r="H87" s="31"/>
      <c r="I87" s="31"/>
      <c r="J87" s="31"/>
    </row>
    <row r="88" customFormat="false" ht="15" hidden="false" customHeight="false" outlineLevel="0" collapsed="false">
      <c r="A88" s="38"/>
      <c r="B88" s="25"/>
      <c r="C88" s="25"/>
      <c r="D88" s="25"/>
      <c r="E88" s="41" t="n">
        <f aca="false">IFERROR(D88/C88,0)</f>
        <v>0</v>
      </c>
      <c r="F88" s="25"/>
      <c r="G88" s="25"/>
      <c r="H88" s="25"/>
      <c r="I88" s="25"/>
      <c r="J88" s="25"/>
    </row>
    <row r="89" customFormat="false" ht="15" hidden="false" customHeight="false" outlineLevel="0" collapsed="false">
      <c r="A89" s="39"/>
      <c r="B89" s="31"/>
      <c r="C89" s="31"/>
      <c r="D89" s="31"/>
      <c r="E89" s="43" t="n">
        <f aca="false">IFERROR(D89/C89,0)</f>
        <v>0</v>
      </c>
      <c r="F89" s="31"/>
      <c r="G89" s="31"/>
      <c r="H89" s="31"/>
      <c r="I89" s="31"/>
      <c r="J89" s="31"/>
    </row>
    <row r="90" customFormat="false" ht="15" hidden="false" customHeight="false" outlineLevel="0" collapsed="false">
      <c r="A90" s="38"/>
      <c r="B90" s="25"/>
      <c r="C90" s="25"/>
      <c r="D90" s="25"/>
      <c r="E90" s="41" t="n">
        <f aca="false">IFERROR(D90/C90,0)</f>
        <v>0</v>
      </c>
      <c r="F90" s="25"/>
      <c r="G90" s="25"/>
      <c r="H90" s="25"/>
      <c r="I90" s="25"/>
      <c r="J90" s="25"/>
    </row>
    <row r="91" customFormat="false" ht="15" hidden="false" customHeight="false" outlineLevel="0" collapsed="false">
      <c r="A91" s="39"/>
      <c r="B91" s="31"/>
      <c r="C91" s="31"/>
      <c r="D91" s="31"/>
      <c r="E91" s="43" t="n">
        <f aca="false">IFERROR(D91/C91,0)</f>
        <v>0</v>
      </c>
      <c r="F91" s="31"/>
      <c r="G91" s="31"/>
      <c r="H91" s="31"/>
      <c r="I91" s="31"/>
      <c r="J91" s="31"/>
    </row>
    <row r="92" customFormat="false" ht="15" hidden="false" customHeight="false" outlineLevel="0" collapsed="false">
      <c r="A92" s="38"/>
      <c r="B92" s="25"/>
      <c r="C92" s="25"/>
      <c r="D92" s="25"/>
      <c r="E92" s="41" t="n">
        <f aca="false">IFERROR(D92/C92,0)</f>
        <v>0</v>
      </c>
      <c r="F92" s="25"/>
      <c r="G92" s="25"/>
      <c r="H92" s="25"/>
      <c r="I92" s="25"/>
      <c r="J92" s="25"/>
    </row>
    <row r="93" customFormat="false" ht="15" hidden="false" customHeight="false" outlineLevel="0" collapsed="false">
      <c r="A93" s="39"/>
      <c r="B93" s="31"/>
      <c r="C93" s="31"/>
      <c r="D93" s="31"/>
      <c r="E93" s="43" t="n">
        <f aca="false">IFERROR(D93/C93,0)</f>
        <v>0</v>
      </c>
      <c r="F93" s="31"/>
      <c r="G93" s="31"/>
      <c r="H93" s="31"/>
      <c r="I93" s="31"/>
      <c r="J93" s="31"/>
    </row>
    <row r="94" customFormat="false" ht="15" hidden="false" customHeight="false" outlineLevel="0" collapsed="false">
      <c r="A94" s="38"/>
      <c r="B94" s="25"/>
      <c r="C94" s="25"/>
      <c r="D94" s="25"/>
      <c r="E94" s="41" t="n">
        <f aca="false">IFERROR(D94/C94,0)</f>
        <v>0</v>
      </c>
      <c r="F94" s="25"/>
      <c r="G94" s="25"/>
      <c r="H94" s="25"/>
      <c r="I94" s="25"/>
      <c r="J94" s="25"/>
    </row>
    <row r="95" customFormat="false" ht="15" hidden="false" customHeight="false" outlineLevel="0" collapsed="false">
      <c r="A95" s="39"/>
      <c r="B95" s="31"/>
      <c r="C95" s="31"/>
      <c r="D95" s="31"/>
      <c r="E95" s="43" t="n">
        <f aca="false">IFERROR(D95/C95,0)</f>
        <v>0</v>
      </c>
      <c r="F95" s="31"/>
      <c r="G95" s="31"/>
      <c r="H95" s="31"/>
      <c r="I95" s="31"/>
      <c r="J95" s="31"/>
    </row>
    <row r="96" customFormat="false" ht="15" hidden="false" customHeight="false" outlineLevel="0" collapsed="false">
      <c r="A96" s="38"/>
      <c r="B96" s="25"/>
      <c r="C96" s="25"/>
      <c r="D96" s="25"/>
      <c r="E96" s="41" t="n">
        <f aca="false">IFERROR(D96/C96,0)</f>
        <v>0</v>
      </c>
      <c r="F96" s="25"/>
      <c r="G96" s="25"/>
      <c r="H96" s="25"/>
      <c r="I96" s="25"/>
      <c r="J96" s="25"/>
    </row>
    <row r="97" customFormat="false" ht="15" hidden="false" customHeight="false" outlineLevel="0" collapsed="false">
      <c r="A97" s="39"/>
      <c r="B97" s="31"/>
      <c r="C97" s="31"/>
      <c r="D97" s="31"/>
      <c r="E97" s="43" t="n">
        <f aca="false">IFERROR(D97/C97,0)</f>
        <v>0</v>
      </c>
      <c r="F97" s="31"/>
      <c r="G97" s="31"/>
      <c r="H97" s="31"/>
      <c r="I97" s="31"/>
      <c r="J97" s="31"/>
    </row>
    <row r="98" customFormat="false" ht="15" hidden="false" customHeight="false" outlineLevel="0" collapsed="false">
      <c r="A98" s="38"/>
      <c r="B98" s="25"/>
      <c r="C98" s="25"/>
      <c r="D98" s="25"/>
      <c r="E98" s="41" t="n">
        <f aca="false">IFERROR(D98/C98,0)</f>
        <v>0</v>
      </c>
      <c r="F98" s="25"/>
      <c r="G98" s="25"/>
      <c r="H98" s="25"/>
      <c r="I98" s="25"/>
      <c r="J98" s="25"/>
    </row>
    <row r="99" customFormat="false" ht="15" hidden="false" customHeight="false" outlineLevel="0" collapsed="false">
      <c r="A99" s="39"/>
      <c r="B99" s="31"/>
      <c r="C99" s="31"/>
      <c r="D99" s="31"/>
      <c r="E99" s="43" t="n">
        <f aca="false">IFERROR(D99/C99,0)</f>
        <v>0</v>
      </c>
      <c r="F99" s="31"/>
      <c r="G99" s="31"/>
      <c r="H99" s="31"/>
      <c r="I99" s="31"/>
      <c r="J99" s="31"/>
    </row>
    <row r="100" customFormat="false" ht="15" hidden="false" customHeight="false" outlineLevel="0" collapsed="false">
      <c r="A100" s="38"/>
      <c r="B100" s="25"/>
      <c r="C100" s="25"/>
      <c r="D100" s="25"/>
      <c r="E100" s="41" t="n">
        <f aca="false">IFERROR(D100/C100,0)</f>
        <v>0</v>
      </c>
      <c r="F100" s="25"/>
      <c r="G100" s="25"/>
      <c r="H100" s="25"/>
      <c r="I100" s="25"/>
      <c r="J100" s="25"/>
    </row>
    <row r="101" customFormat="false" ht="15" hidden="false" customHeight="false" outlineLevel="0" collapsed="false">
      <c r="A101" s="39"/>
      <c r="B101" s="31"/>
      <c r="C101" s="31"/>
      <c r="D101" s="31"/>
      <c r="E101" s="43" t="n">
        <f aca="false">IFERROR(D101/C101,0)</f>
        <v>0</v>
      </c>
      <c r="F101" s="31"/>
      <c r="G101" s="31"/>
      <c r="H101" s="31"/>
      <c r="I101" s="31"/>
      <c r="J101" s="31"/>
    </row>
    <row r="102" customFormat="false" ht="15" hidden="false" customHeight="false" outlineLevel="0" collapsed="false">
      <c r="A102" s="38"/>
      <c r="B102" s="25"/>
      <c r="C102" s="25"/>
      <c r="D102" s="25"/>
      <c r="E102" s="41" t="n">
        <f aca="false">IFERROR(D102/C102,0)</f>
        <v>0</v>
      </c>
      <c r="F102" s="25"/>
      <c r="G102" s="25"/>
      <c r="H102" s="25"/>
      <c r="I102" s="25"/>
      <c r="J102" s="25"/>
    </row>
    <row r="103" customFormat="false" ht="15" hidden="false" customHeight="false" outlineLevel="0" collapsed="false">
      <c r="A103" s="39"/>
      <c r="B103" s="31"/>
      <c r="C103" s="31"/>
      <c r="D103" s="31"/>
      <c r="E103" s="43" t="n">
        <f aca="false">IFERROR(D103/C103,0)</f>
        <v>0</v>
      </c>
      <c r="F103" s="31"/>
      <c r="G103" s="31"/>
      <c r="H103" s="31"/>
      <c r="I103" s="31"/>
      <c r="J103" s="31"/>
    </row>
    <row r="104" customFormat="false" ht="15" hidden="false" customHeight="false" outlineLevel="0" collapsed="false">
      <c r="A104" s="38"/>
      <c r="B104" s="25"/>
      <c r="C104" s="25"/>
      <c r="D104" s="25"/>
      <c r="E104" s="41" t="n">
        <f aca="false">IFERROR(D104/C104,0)</f>
        <v>0</v>
      </c>
      <c r="F104" s="25"/>
      <c r="G104" s="25"/>
      <c r="H104" s="25"/>
      <c r="I104" s="25"/>
      <c r="J104" s="25"/>
    </row>
    <row r="105" customFormat="false" ht="15" hidden="false" customHeight="false" outlineLevel="0" collapsed="false">
      <c r="A105" s="39"/>
      <c r="B105" s="31"/>
      <c r="C105" s="31"/>
      <c r="D105" s="31"/>
      <c r="E105" s="43" t="n">
        <f aca="false">IFERROR(D105/C105,0)</f>
        <v>0</v>
      </c>
      <c r="F105" s="31"/>
      <c r="G105" s="31"/>
      <c r="H105" s="31"/>
      <c r="I105" s="31"/>
      <c r="J105" s="31"/>
    </row>
    <row r="106" customFormat="false" ht="15" hidden="false" customHeight="false" outlineLevel="0" collapsed="false">
      <c r="A106" s="38"/>
      <c r="B106" s="25"/>
      <c r="C106" s="25"/>
      <c r="D106" s="25"/>
      <c r="E106" s="41" t="n">
        <f aca="false">IFERROR(D106/C106,0)</f>
        <v>0</v>
      </c>
      <c r="F106" s="25"/>
      <c r="G106" s="25"/>
      <c r="H106" s="25"/>
      <c r="I106" s="25"/>
      <c r="J106" s="25"/>
    </row>
    <row r="107" customFormat="false" ht="15" hidden="false" customHeight="false" outlineLevel="0" collapsed="false">
      <c r="A107" s="39"/>
      <c r="B107" s="31"/>
      <c r="C107" s="31"/>
      <c r="D107" s="31"/>
      <c r="E107" s="43" t="n">
        <f aca="false">IFERROR(D107/C107,0)</f>
        <v>0</v>
      </c>
      <c r="F107" s="31"/>
      <c r="G107" s="31"/>
      <c r="H107" s="31"/>
      <c r="I107" s="31"/>
      <c r="J107" s="31"/>
    </row>
    <row r="108" customFormat="false" ht="15" hidden="false" customHeight="false" outlineLevel="0" collapsed="false">
      <c r="A108" s="38"/>
      <c r="B108" s="25"/>
      <c r="C108" s="25"/>
      <c r="D108" s="25"/>
      <c r="E108" s="41" t="n">
        <f aca="false">IFERROR(D108/C108,0)</f>
        <v>0</v>
      </c>
      <c r="F108" s="25"/>
      <c r="G108" s="25"/>
      <c r="H108" s="25"/>
      <c r="I108" s="25"/>
      <c r="J108" s="25"/>
    </row>
    <row r="109" customFormat="false" ht="15" hidden="false" customHeight="false" outlineLevel="0" collapsed="false">
      <c r="A109" s="39"/>
      <c r="B109" s="31"/>
      <c r="C109" s="31"/>
      <c r="D109" s="31"/>
      <c r="E109" s="43" t="n">
        <f aca="false">IFERROR(D109/C109,0)</f>
        <v>0</v>
      </c>
      <c r="F109" s="31"/>
      <c r="G109" s="31"/>
      <c r="H109" s="31"/>
      <c r="I109" s="31"/>
      <c r="J109" s="31"/>
    </row>
    <row r="110" customFormat="false" ht="15" hidden="false" customHeight="false" outlineLevel="0" collapsed="false">
      <c r="A110" s="38"/>
      <c r="B110" s="25"/>
      <c r="C110" s="25"/>
      <c r="D110" s="25"/>
      <c r="E110" s="41" t="n">
        <f aca="false">IFERROR(D110/C110,0)</f>
        <v>0</v>
      </c>
      <c r="F110" s="25"/>
      <c r="G110" s="25"/>
      <c r="H110" s="25"/>
      <c r="I110" s="25"/>
      <c r="J110" s="25"/>
    </row>
    <row r="111" customFormat="false" ht="15" hidden="false" customHeight="false" outlineLevel="0" collapsed="false">
      <c r="A111" s="39"/>
      <c r="B111" s="31"/>
      <c r="C111" s="31"/>
      <c r="D111" s="31"/>
      <c r="E111" s="43" t="n">
        <f aca="false">IFERROR(D111/C111,0)</f>
        <v>0</v>
      </c>
      <c r="F111" s="31"/>
      <c r="G111" s="31"/>
      <c r="H111" s="31"/>
      <c r="I111" s="31"/>
      <c r="J111" s="31"/>
    </row>
    <row r="112" customFormat="false" ht="15" hidden="false" customHeight="false" outlineLevel="0" collapsed="false">
      <c r="A112" s="38"/>
      <c r="B112" s="25"/>
      <c r="C112" s="25"/>
      <c r="D112" s="25"/>
      <c r="E112" s="41" t="n">
        <f aca="false">IFERROR(D112/C112,0)</f>
        <v>0</v>
      </c>
      <c r="F112" s="25"/>
      <c r="G112" s="25"/>
      <c r="H112" s="25"/>
      <c r="I112" s="25"/>
      <c r="J112" s="25"/>
    </row>
    <row r="113" customFormat="false" ht="15" hidden="false" customHeight="false" outlineLevel="0" collapsed="false">
      <c r="A113" s="39"/>
      <c r="B113" s="31"/>
      <c r="C113" s="31"/>
      <c r="D113" s="31"/>
      <c r="E113" s="43" t="n">
        <f aca="false">IFERROR(D113/C113,0)</f>
        <v>0</v>
      </c>
      <c r="F113" s="31"/>
      <c r="G113" s="31"/>
      <c r="H113" s="31"/>
      <c r="I113" s="31"/>
      <c r="J113" s="31"/>
    </row>
    <row r="114" customFormat="false" ht="15" hidden="false" customHeight="false" outlineLevel="0" collapsed="false">
      <c r="A114" s="38"/>
      <c r="B114" s="25"/>
      <c r="C114" s="25"/>
      <c r="D114" s="25"/>
      <c r="E114" s="41" t="n">
        <f aca="false">IFERROR(D114/C114,0)</f>
        <v>0</v>
      </c>
      <c r="F114" s="25"/>
      <c r="G114" s="25"/>
      <c r="H114" s="25"/>
      <c r="I114" s="25"/>
      <c r="J114" s="25"/>
    </row>
    <row r="115" customFormat="false" ht="15" hidden="false" customHeight="false" outlineLevel="0" collapsed="false">
      <c r="A115" s="39"/>
      <c r="B115" s="31"/>
      <c r="C115" s="31"/>
      <c r="D115" s="31"/>
      <c r="E115" s="43" t="n">
        <f aca="false">IFERROR(D115/C115,0)</f>
        <v>0</v>
      </c>
      <c r="F115" s="31"/>
      <c r="G115" s="31"/>
      <c r="H115" s="31"/>
      <c r="I115" s="31"/>
      <c r="J115" s="31"/>
    </row>
    <row r="116" customFormat="false" ht="15" hidden="false" customHeight="false" outlineLevel="0" collapsed="false">
      <c r="A116" s="38"/>
      <c r="B116" s="25"/>
      <c r="C116" s="25"/>
      <c r="D116" s="25"/>
      <c r="E116" s="41" t="n">
        <f aca="false">IFERROR(D116/C116,0)</f>
        <v>0</v>
      </c>
      <c r="F116" s="25"/>
      <c r="G116" s="25"/>
      <c r="H116" s="25"/>
      <c r="I116" s="25"/>
      <c r="J116" s="25"/>
    </row>
    <row r="117" customFormat="false" ht="15" hidden="false" customHeight="false" outlineLevel="0" collapsed="false">
      <c r="A117" s="39"/>
      <c r="B117" s="31"/>
      <c r="C117" s="31"/>
      <c r="D117" s="31"/>
      <c r="E117" s="43" t="n">
        <f aca="false">IFERROR(D117/C117,0)</f>
        <v>0</v>
      </c>
      <c r="F117" s="31"/>
      <c r="G117" s="31"/>
      <c r="H117" s="31"/>
      <c r="I117" s="31"/>
      <c r="J117" s="31"/>
    </row>
    <row r="118" customFormat="false" ht="15" hidden="false" customHeight="false" outlineLevel="0" collapsed="false">
      <c r="A118" s="38"/>
      <c r="B118" s="25"/>
      <c r="C118" s="25"/>
      <c r="D118" s="25"/>
      <c r="E118" s="41" t="n">
        <f aca="false">IFERROR(D118/C118,0)</f>
        <v>0</v>
      </c>
      <c r="F118" s="25"/>
      <c r="G118" s="25"/>
      <c r="H118" s="25"/>
      <c r="I118" s="25"/>
      <c r="J118" s="25"/>
    </row>
    <row r="119" customFormat="false" ht="15" hidden="false" customHeight="false" outlineLevel="0" collapsed="false">
      <c r="A119" s="39"/>
      <c r="B119" s="31"/>
      <c r="C119" s="31"/>
      <c r="D119" s="31"/>
      <c r="E119" s="43" t="n">
        <f aca="false">IFERROR(D119/C119,0)</f>
        <v>0</v>
      </c>
      <c r="F119" s="31"/>
      <c r="G119" s="31"/>
      <c r="H119" s="31"/>
      <c r="I119" s="31"/>
      <c r="J119" s="31"/>
    </row>
    <row r="120" customFormat="false" ht="15" hidden="false" customHeight="false" outlineLevel="0" collapsed="false">
      <c r="A120" s="38"/>
      <c r="B120" s="25"/>
      <c r="C120" s="25"/>
      <c r="D120" s="25"/>
      <c r="E120" s="41" t="n">
        <f aca="false">IFERROR(D120/C120,0)</f>
        <v>0</v>
      </c>
      <c r="F120" s="25"/>
      <c r="G120" s="25"/>
      <c r="H120" s="25"/>
      <c r="I120" s="25"/>
      <c r="J120" s="25"/>
    </row>
    <row r="121" customFormat="false" ht="15" hidden="false" customHeight="false" outlineLevel="0" collapsed="false">
      <c r="A121" s="39"/>
      <c r="B121" s="31"/>
      <c r="C121" s="31"/>
      <c r="D121" s="31"/>
      <c r="E121" s="43" t="n">
        <f aca="false">IFERROR(D121/C121,0)</f>
        <v>0</v>
      </c>
      <c r="F121" s="31"/>
      <c r="G121" s="31"/>
      <c r="H121" s="31"/>
      <c r="I121" s="31"/>
      <c r="J121" s="31"/>
    </row>
    <row r="122" customFormat="false" ht="15" hidden="false" customHeight="false" outlineLevel="0" collapsed="false">
      <c r="A122" s="38"/>
      <c r="B122" s="25"/>
      <c r="C122" s="25"/>
      <c r="D122" s="25"/>
      <c r="E122" s="41" t="n">
        <f aca="false">IFERROR(D122/C122,0)</f>
        <v>0</v>
      </c>
      <c r="F122" s="25"/>
      <c r="G122" s="25"/>
      <c r="H122" s="25"/>
      <c r="I122" s="25"/>
      <c r="J122" s="25"/>
    </row>
    <row r="123" customFormat="false" ht="15" hidden="false" customHeight="false" outlineLevel="0" collapsed="false">
      <c r="A123" s="39"/>
      <c r="B123" s="31"/>
      <c r="C123" s="31"/>
      <c r="D123" s="31"/>
      <c r="E123" s="43" t="n">
        <f aca="false">IFERROR(D123/C123,0)</f>
        <v>0</v>
      </c>
      <c r="F123" s="31"/>
      <c r="G123" s="31"/>
      <c r="H123" s="31"/>
      <c r="I123" s="31"/>
      <c r="J123" s="31"/>
    </row>
    <row r="124" customFormat="false" ht="15" hidden="false" customHeight="false" outlineLevel="0" collapsed="false">
      <c r="A124" s="38"/>
      <c r="B124" s="25"/>
      <c r="C124" s="25"/>
      <c r="D124" s="25"/>
      <c r="E124" s="41" t="n">
        <f aca="false">IFERROR(D124/C124,0)</f>
        <v>0</v>
      </c>
      <c r="F124" s="25"/>
      <c r="G124" s="25"/>
      <c r="H124" s="25"/>
      <c r="I124" s="25"/>
      <c r="J124" s="25"/>
    </row>
    <row r="125" customFormat="false" ht="15" hidden="false" customHeight="false" outlineLevel="0" collapsed="false">
      <c r="A125" s="39"/>
      <c r="B125" s="31"/>
      <c r="C125" s="31"/>
      <c r="D125" s="31"/>
      <c r="E125" s="43" t="n">
        <f aca="false">IFERROR(D125/C125,0)</f>
        <v>0</v>
      </c>
      <c r="F125" s="31"/>
      <c r="G125" s="31"/>
      <c r="H125" s="31"/>
      <c r="I125" s="31"/>
      <c r="J125" s="31"/>
    </row>
    <row r="126" customFormat="false" ht="15" hidden="false" customHeight="false" outlineLevel="0" collapsed="false">
      <c r="A126" s="38"/>
      <c r="B126" s="25"/>
      <c r="C126" s="25"/>
      <c r="D126" s="25"/>
      <c r="E126" s="41" t="n">
        <f aca="false">IFERROR(D126/C126,0)</f>
        <v>0</v>
      </c>
      <c r="F126" s="25"/>
      <c r="G126" s="25"/>
      <c r="H126" s="25"/>
      <c r="I126" s="25"/>
      <c r="J126" s="25"/>
    </row>
    <row r="127" customFormat="false" ht="15" hidden="false" customHeight="false" outlineLevel="0" collapsed="false">
      <c r="A127" s="39"/>
      <c r="B127" s="31"/>
      <c r="C127" s="31"/>
      <c r="D127" s="31"/>
      <c r="E127" s="43" t="n">
        <f aca="false">IFERROR(D127/C127,0)</f>
        <v>0</v>
      </c>
      <c r="F127" s="31"/>
      <c r="G127" s="31"/>
      <c r="H127" s="31"/>
      <c r="I127" s="31"/>
      <c r="J127" s="31"/>
    </row>
    <row r="128" customFormat="false" ht="15" hidden="false" customHeight="false" outlineLevel="0" collapsed="false">
      <c r="A128" s="38"/>
      <c r="B128" s="25"/>
      <c r="C128" s="25"/>
      <c r="D128" s="25"/>
      <c r="E128" s="41" t="n">
        <f aca="false">IFERROR(D128/C128,0)</f>
        <v>0</v>
      </c>
      <c r="F128" s="25"/>
      <c r="G128" s="25"/>
      <c r="H128" s="25"/>
      <c r="I128" s="25"/>
      <c r="J128" s="25"/>
    </row>
    <row r="129" customFormat="false" ht="15" hidden="false" customHeight="false" outlineLevel="0" collapsed="false">
      <c r="A129" s="39"/>
      <c r="B129" s="31"/>
      <c r="C129" s="31"/>
      <c r="D129" s="31"/>
      <c r="E129" s="43" t="n">
        <f aca="false">IFERROR(D129/C129,0)</f>
        <v>0</v>
      </c>
      <c r="F129" s="31"/>
      <c r="G129" s="31"/>
      <c r="H129" s="31"/>
      <c r="I129" s="31"/>
      <c r="J129" s="31"/>
    </row>
    <row r="130" customFormat="false" ht="15" hidden="false" customHeight="false" outlineLevel="0" collapsed="false">
      <c r="A130" s="38"/>
      <c r="B130" s="25"/>
      <c r="C130" s="25"/>
      <c r="D130" s="25"/>
      <c r="E130" s="41" t="n">
        <f aca="false">IFERROR(D130/C130,0)</f>
        <v>0</v>
      </c>
      <c r="F130" s="25"/>
      <c r="G130" s="25"/>
      <c r="H130" s="25"/>
      <c r="I130" s="25"/>
      <c r="J130" s="25"/>
    </row>
    <row r="131" customFormat="false" ht="15" hidden="false" customHeight="false" outlineLevel="0" collapsed="false">
      <c r="A131" s="39"/>
      <c r="B131" s="31"/>
      <c r="C131" s="31"/>
      <c r="D131" s="31"/>
      <c r="E131" s="43" t="n">
        <f aca="false">IFERROR(D131/C131,0)</f>
        <v>0</v>
      </c>
      <c r="F131" s="31"/>
      <c r="G131" s="31"/>
      <c r="H131" s="31"/>
      <c r="I131" s="31"/>
      <c r="J131" s="31"/>
    </row>
    <row r="132" customFormat="false" ht="15" hidden="false" customHeight="false" outlineLevel="0" collapsed="false">
      <c r="A132" s="38"/>
      <c r="B132" s="25"/>
      <c r="C132" s="25"/>
      <c r="D132" s="25"/>
      <c r="E132" s="41" t="n">
        <f aca="false">IFERROR(D132/C132,0)</f>
        <v>0</v>
      </c>
      <c r="F132" s="25"/>
      <c r="G132" s="25"/>
      <c r="H132" s="25"/>
      <c r="I132" s="25"/>
      <c r="J132" s="25"/>
    </row>
    <row r="133" customFormat="false" ht="15" hidden="false" customHeight="false" outlineLevel="0" collapsed="false">
      <c r="A133" s="39"/>
      <c r="B133" s="31"/>
      <c r="C133" s="31"/>
      <c r="D133" s="31"/>
      <c r="E133" s="43" t="n">
        <f aca="false">IFERROR(D133/C133,0)</f>
        <v>0</v>
      </c>
      <c r="F133" s="31"/>
      <c r="G133" s="31"/>
      <c r="H133" s="31"/>
      <c r="I133" s="31"/>
      <c r="J133" s="31"/>
    </row>
    <row r="134" customFormat="false" ht="15" hidden="false" customHeight="false" outlineLevel="0" collapsed="false">
      <c r="A134" s="38"/>
      <c r="B134" s="25"/>
      <c r="C134" s="25"/>
      <c r="D134" s="25"/>
      <c r="E134" s="41" t="n">
        <f aca="false">IFERROR(D134/C134,0)</f>
        <v>0</v>
      </c>
      <c r="F134" s="25"/>
      <c r="G134" s="25"/>
      <c r="H134" s="25"/>
      <c r="I134" s="25"/>
      <c r="J134" s="25"/>
    </row>
    <row r="135" customFormat="false" ht="15" hidden="false" customHeight="false" outlineLevel="0" collapsed="false">
      <c r="A135" s="39"/>
      <c r="B135" s="31"/>
      <c r="C135" s="31"/>
      <c r="D135" s="31"/>
      <c r="E135" s="43" t="n">
        <f aca="false">IFERROR(D135/C135,0)</f>
        <v>0</v>
      </c>
      <c r="F135" s="31"/>
      <c r="G135" s="31"/>
      <c r="H135" s="31"/>
      <c r="I135" s="31"/>
      <c r="J135" s="31"/>
    </row>
    <row r="136" customFormat="false" ht="15" hidden="false" customHeight="false" outlineLevel="0" collapsed="false">
      <c r="A136" s="38"/>
      <c r="B136" s="25"/>
      <c r="C136" s="25"/>
      <c r="D136" s="25"/>
      <c r="E136" s="41" t="n">
        <f aca="false">IFERROR(D136/C136,0)</f>
        <v>0</v>
      </c>
      <c r="F136" s="25"/>
      <c r="G136" s="25"/>
      <c r="H136" s="25"/>
      <c r="I136" s="25"/>
      <c r="J136" s="25"/>
    </row>
    <row r="137" customFormat="false" ht="15" hidden="false" customHeight="false" outlineLevel="0" collapsed="false">
      <c r="A137" s="39"/>
      <c r="B137" s="31"/>
      <c r="C137" s="31"/>
      <c r="D137" s="31"/>
      <c r="E137" s="43" t="n">
        <f aca="false">IFERROR(D137/C137,0)</f>
        <v>0</v>
      </c>
      <c r="F137" s="31"/>
      <c r="G137" s="31"/>
      <c r="H137" s="31"/>
      <c r="I137" s="31"/>
      <c r="J137" s="31"/>
    </row>
    <row r="138" customFormat="false" ht="15" hidden="false" customHeight="false" outlineLevel="0" collapsed="false">
      <c r="A138" s="38"/>
      <c r="B138" s="25"/>
      <c r="C138" s="25"/>
      <c r="D138" s="25"/>
      <c r="E138" s="41" t="n">
        <f aca="false">IFERROR(D138/C138,0)</f>
        <v>0</v>
      </c>
      <c r="F138" s="25"/>
      <c r="G138" s="25"/>
      <c r="H138" s="25"/>
      <c r="I138" s="25"/>
      <c r="J138" s="25"/>
    </row>
    <row r="139" customFormat="false" ht="15" hidden="false" customHeight="false" outlineLevel="0" collapsed="false">
      <c r="A139" s="39"/>
      <c r="B139" s="31"/>
      <c r="C139" s="31"/>
      <c r="D139" s="31"/>
      <c r="E139" s="43" t="n">
        <f aca="false">IFERROR(D139/C139,0)</f>
        <v>0</v>
      </c>
      <c r="F139" s="31"/>
      <c r="G139" s="31"/>
      <c r="H139" s="31"/>
      <c r="I139" s="31"/>
      <c r="J139" s="31"/>
    </row>
    <row r="140" customFormat="false" ht="15" hidden="false" customHeight="false" outlineLevel="0" collapsed="false">
      <c r="A140" s="38"/>
      <c r="B140" s="25"/>
      <c r="C140" s="25"/>
      <c r="D140" s="25"/>
      <c r="E140" s="41" t="n">
        <f aca="false">IFERROR(D140/C140,0)</f>
        <v>0</v>
      </c>
      <c r="F140" s="25"/>
      <c r="G140" s="25"/>
      <c r="H140" s="25"/>
      <c r="I140" s="25"/>
      <c r="J140" s="25"/>
    </row>
    <row r="141" customFormat="false" ht="15" hidden="false" customHeight="false" outlineLevel="0" collapsed="false">
      <c r="A141" s="39"/>
      <c r="B141" s="31"/>
      <c r="C141" s="31"/>
      <c r="D141" s="31"/>
      <c r="E141" s="43" t="n">
        <f aca="false">IFERROR(D141/C141,0)</f>
        <v>0</v>
      </c>
      <c r="F141" s="31"/>
      <c r="G141" s="31"/>
      <c r="H141" s="31"/>
      <c r="I141" s="31"/>
      <c r="J141" s="31"/>
    </row>
    <row r="142" customFormat="false" ht="15" hidden="false" customHeight="false" outlineLevel="0" collapsed="false">
      <c r="A142" s="38"/>
      <c r="B142" s="25"/>
      <c r="C142" s="25"/>
      <c r="D142" s="25"/>
      <c r="E142" s="41" t="n">
        <f aca="false">IFERROR(D142/C142,0)</f>
        <v>0</v>
      </c>
      <c r="F142" s="25"/>
      <c r="G142" s="25"/>
      <c r="H142" s="25"/>
      <c r="I142" s="25"/>
      <c r="J142" s="25"/>
    </row>
    <row r="143" customFormat="false" ht="15" hidden="false" customHeight="false" outlineLevel="0" collapsed="false">
      <c r="A143" s="39"/>
      <c r="B143" s="31"/>
      <c r="C143" s="31"/>
      <c r="D143" s="31"/>
      <c r="E143" s="43" t="n">
        <f aca="false">IFERROR(D143/C143,0)</f>
        <v>0</v>
      </c>
      <c r="F143" s="31"/>
      <c r="G143" s="31"/>
      <c r="H143" s="31"/>
      <c r="I143" s="31"/>
      <c r="J143" s="31"/>
    </row>
    <row r="144" customFormat="false" ht="15" hidden="false" customHeight="false" outlineLevel="0" collapsed="false">
      <c r="A144" s="38"/>
      <c r="B144" s="25"/>
      <c r="C144" s="25"/>
      <c r="D144" s="25"/>
      <c r="E144" s="41" t="n">
        <f aca="false">IFERROR(D144/C144,0)</f>
        <v>0</v>
      </c>
      <c r="F144" s="25"/>
      <c r="G144" s="25"/>
      <c r="H144" s="25"/>
      <c r="I144" s="25"/>
      <c r="J144" s="25"/>
    </row>
    <row r="145" customFormat="false" ht="15" hidden="false" customHeight="false" outlineLevel="0" collapsed="false">
      <c r="A145" s="39"/>
      <c r="B145" s="31"/>
      <c r="C145" s="31"/>
      <c r="D145" s="31"/>
      <c r="E145" s="43" t="n">
        <f aca="false">IFERROR(D145/C145,0)</f>
        <v>0</v>
      </c>
      <c r="F145" s="31"/>
      <c r="G145" s="31"/>
      <c r="H145" s="31"/>
      <c r="I145" s="31"/>
      <c r="J145" s="31"/>
    </row>
    <row r="146" customFormat="false" ht="15" hidden="false" customHeight="false" outlineLevel="0" collapsed="false">
      <c r="A146" s="38"/>
      <c r="B146" s="25"/>
      <c r="C146" s="25"/>
      <c r="D146" s="25"/>
      <c r="E146" s="41" t="n">
        <f aca="false">IFERROR(D146/C146,0)</f>
        <v>0</v>
      </c>
      <c r="F146" s="25"/>
      <c r="G146" s="25"/>
      <c r="H146" s="25"/>
      <c r="I146" s="25"/>
      <c r="J146" s="25"/>
    </row>
    <row r="147" customFormat="false" ht="15" hidden="false" customHeight="false" outlineLevel="0" collapsed="false">
      <c r="A147" s="39"/>
      <c r="B147" s="31"/>
      <c r="C147" s="31"/>
      <c r="D147" s="31"/>
      <c r="E147" s="43" t="n">
        <f aca="false">IFERROR(D147/C147,0)</f>
        <v>0</v>
      </c>
      <c r="F147" s="31"/>
      <c r="G147" s="31"/>
      <c r="H147" s="31"/>
      <c r="I147" s="31"/>
      <c r="J147" s="31"/>
    </row>
    <row r="148" customFormat="false" ht="15" hidden="false" customHeight="false" outlineLevel="0" collapsed="false">
      <c r="A148" s="38"/>
      <c r="B148" s="25"/>
      <c r="C148" s="25"/>
      <c r="D148" s="25"/>
      <c r="E148" s="41" t="n">
        <f aca="false">IFERROR(D148/C148,0)</f>
        <v>0</v>
      </c>
      <c r="F148" s="25"/>
      <c r="G148" s="25"/>
      <c r="H148" s="25"/>
      <c r="I148" s="25"/>
      <c r="J148" s="25"/>
    </row>
    <row r="149" customFormat="false" ht="15" hidden="false" customHeight="false" outlineLevel="0" collapsed="false">
      <c r="A149" s="39"/>
      <c r="B149" s="31"/>
      <c r="C149" s="31"/>
      <c r="D149" s="31"/>
      <c r="E149" s="43" t="n">
        <f aca="false">IFERROR(D149/C149,0)</f>
        <v>0</v>
      </c>
      <c r="F149" s="31"/>
      <c r="G149" s="31"/>
      <c r="H149" s="31"/>
      <c r="I149" s="31"/>
      <c r="J149" s="31"/>
    </row>
    <row r="150" customFormat="false" ht="15" hidden="false" customHeight="false" outlineLevel="0" collapsed="false">
      <c r="A150" s="38"/>
      <c r="B150" s="25"/>
      <c r="C150" s="25"/>
      <c r="D150" s="25"/>
      <c r="E150" s="41" t="n">
        <f aca="false">IFERROR(D150/C150,0)</f>
        <v>0</v>
      </c>
      <c r="F150" s="25"/>
      <c r="G150" s="25"/>
      <c r="H150" s="25"/>
      <c r="I150" s="25"/>
      <c r="J150" s="25"/>
    </row>
    <row r="151" customFormat="false" ht="15" hidden="false" customHeight="false" outlineLevel="0" collapsed="false">
      <c r="A151" s="39"/>
      <c r="B151" s="31"/>
      <c r="C151" s="31"/>
      <c r="D151" s="31"/>
      <c r="E151" s="43" t="n">
        <f aca="false">IFERROR(D151/C151,0)</f>
        <v>0</v>
      </c>
      <c r="F151" s="31"/>
      <c r="G151" s="31"/>
      <c r="H151" s="31"/>
      <c r="I151" s="31"/>
      <c r="J151" s="31"/>
    </row>
    <row r="152" customFormat="false" ht="15" hidden="false" customHeight="false" outlineLevel="0" collapsed="false">
      <c r="A152" s="38"/>
      <c r="B152" s="25"/>
      <c r="C152" s="25"/>
      <c r="D152" s="25"/>
      <c r="E152" s="41" t="n">
        <f aca="false">IFERROR(D152/C152,0)</f>
        <v>0</v>
      </c>
      <c r="F152" s="25"/>
      <c r="G152" s="25"/>
      <c r="H152" s="25"/>
      <c r="I152" s="25"/>
      <c r="J152" s="25"/>
    </row>
    <row r="153" customFormat="false" ht="15" hidden="false" customHeight="false" outlineLevel="0" collapsed="false">
      <c r="A153" s="39"/>
      <c r="B153" s="31"/>
      <c r="C153" s="31"/>
      <c r="D153" s="31"/>
      <c r="E153" s="43" t="n">
        <f aca="false">IFERROR(D153/C153,0)</f>
        <v>0</v>
      </c>
      <c r="F153" s="31"/>
      <c r="G153" s="31"/>
      <c r="H153" s="31"/>
      <c r="I153" s="31"/>
      <c r="J153" s="31"/>
    </row>
    <row r="154" customFormat="false" ht="15" hidden="false" customHeight="false" outlineLevel="0" collapsed="false">
      <c r="A154" s="38"/>
      <c r="B154" s="25"/>
      <c r="C154" s="25"/>
      <c r="D154" s="25"/>
      <c r="E154" s="41" t="n">
        <f aca="false">IFERROR(D154/C154,0)</f>
        <v>0</v>
      </c>
      <c r="F154" s="25"/>
      <c r="G154" s="25"/>
      <c r="H154" s="25"/>
      <c r="I154" s="25"/>
      <c r="J154" s="25"/>
    </row>
    <row r="155" customFormat="false" ht="15" hidden="false" customHeight="false" outlineLevel="0" collapsed="false">
      <c r="A155" s="39"/>
      <c r="B155" s="31"/>
      <c r="C155" s="31"/>
      <c r="D155" s="31"/>
      <c r="E155" s="43" t="n">
        <f aca="false">IFERROR(D155/C155,0)</f>
        <v>0</v>
      </c>
      <c r="F155" s="31"/>
      <c r="G155" s="31"/>
      <c r="H155" s="31"/>
      <c r="I155" s="31"/>
      <c r="J155" s="31"/>
    </row>
    <row r="156" customFormat="false" ht="15" hidden="false" customHeight="false" outlineLevel="0" collapsed="false">
      <c r="A156" s="38"/>
      <c r="B156" s="25"/>
      <c r="C156" s="25"/>
      <c r="D156" s="25"/>
      <c r="E156" s="41" t="n">
        <f aca="false">IFERROR(D156/C156,0)</f>
        <v>0</v>
      </c>
      <c r="F156" s="25"/>
      <c r="G156" s="25"/>
      <c r="H156" s="25"/>
      <c r="I156" s="25"/>
      <c r="J156" s="25"/>
    </row>
    <row r="157" customFormat="false" ht="15" hidden="false" customHeight="false" outlineLevel="0" collapsed="false">
      <c r="A157" s="39"/>
      <c r="B157" s="31"/>
      <c r="C157" s="31"/>
      <c r="D157" s="31"/>
      <c r="E157" s="43" t="n">
        <f aca="false">IFERROR(D157/C157,0)</f>
        <v>0</v>
      </c>
      <c r="F157" s="31"/>
      <c r="G157" s="31"/>
      <c r="H157" s="31"/>
      <c r="I157" s="31"/>
      <c r="J157" s="31"/>
    </row>
    <row r="158" customFormat="false" ht="15" hidden="false" customHeight="false" outlineLevel="0" collapsed="false">
      <c r="A158" s="38"/>
      <c r="B158" s="25"/>
      <c r="C158" s="25"/>
      <c r="D158" s="25"/>
      <c r="E158" s="41" t="n">
        <f aca="false">IFERROR(D158/C158,0)</f>
        <v>0</v>
      </c>
      <c r="F158" s="25"/>
      <c r="G158" s="25"/>
      <c r="H158" s="25"/>
      <c r="I158" s="25"/>
      <c r="J158" s="25"/>
    </row>
    <row r="159" customFormat="false" ht="15" hidden="false" customHeight="false" outlineLevel="0" collapsed="false">
      <c r="A159" s="39"/>
      <c r="B159" s="31"/>
      <c r="C159" s="31"/>
      <c r="D159" s="31"/>
      <c r="E159" s="43" t="n">
        <f aca="false">IFERROR(D159/C159,0)</f>
        <v>0</v>
      </c>
      <c r="F159" s="31"/>
      <c r="G159" s="31"/>
      <c r="H159" s="31"/>
      <c r="I159" s="31"/>
      <c r="J159" s="31"/>
    </row>
    <row r="160" customFormat="false" ht="15" hidden="false" customHeight="false" outlineLevel="0" collapsed="false">
      <c r="A160" s="38"/>
      <c r="B160" s="25"/>
      <c r="C160" s="25"/>
      <c r="D160" s="25"/>
      <c r="E160" s="41" t="n">
        <f aca="false">IFERROR(D160/C160,0)</f>
        <v>0</v>
      </c>
      <c r="F160" s="25"/>
      <c r="G160" s="25"/>
      <c r="H160" s="25"/>
      <c r="I160" s="25"/>
      <c r="J160" s="25"/>
    </row>
    <row r="161" customFormat="false" ht="15" hidden="false" customHeight="false" outlineLevel="0" collapsed="false">
      <c r="A161" s="39"/>
      <c r="B161" s="31"/>
      <c r="C161" s="31"/>
      <c r="D161" s="31"/>
      <c r="E161" s="43" t="n">
        <f aca="false">IFERROR(D161/C161,0)</f>
        <v>0</v>
      </c>
      <c r="F161" s="31"/>
      <c r="G161" s="31"/>
      <c r="H161" s="31"/>
      <c r="I161" s="31"/>
      <c r="J161" s="31"/>
    </row>
    <row r="162" customFormat="false" ht="15" hidden="false" customHeight="false" outlineLevel="0" collapsed="false">
      <c r="A162" s="38"/>
      <c r="B162" s="25"/>
      <c r="C162" s="25"/>
      <c r="D162" s="25"/>
      <c r="E162" s="41" t="n">
        <f aca="false">IFERROR(D162/C162,0)</f>
        <v>0</v>
      </c>
      <c r="F162" s="25"/>
      <c r="G162" s="25"/>
      <c r="H162" s="25"/>
      <c r="I162" s="25"/>
      <c r="J162" s="25"/>
    </row>
    <row r="163" customFormat="false" ht="15" hidden="false" customHeight="false" outlineLevel="0" collapsed="false">
      <c r="A163" s="39"/>
      <c r="B163" s="31"/>
      <c r="C163" s="31"/>
      <c r="D163" s="31"/>
      <c r="E163" s="43" t="n">
        <f aca="false">IFERROR(D163/C163,0)</f>
        <v>0</v>
      </c>
      <c r="F163" s="31"/>
      <c r="G163" s="31"/>
      <c r="H163" s="31"/>
      <c r="I163" s="31"/>
      <c r="J163" s="31"/>
    </row>
    <row r="164" customFormat="false" ht="15" hidden="false" customHeight="false" outlineLevel="0" collapsed="false">
      <c r="A164" s="38"/>
      <c r="B164" s="25"/>
      <c r="C164" s="25"/>
      <c r="D164" s="25"/>
      <c r="E164" s="41" t="n">
        <f aca="false">IFERROR(D164/C164,0)</f>
        <v>0</v>
      </c>
      <c r="F164" s="25"/>
      <c r="G164" s="25"/>
      <c r="H164" s="25"/>
      <c r="I164" s="25"/>
      <c r="J164" s="25"/>
    </row>
    <row r="165" customFormat="false" ht="15" hidden="false" customHeight="false" outlineLevel="0" collapsed="false">
      <c r="A165" s="39"/>
      <c r="B165" s="31"/>
      <c r="C165" s="31"/>
      <c r="D165" s="31"/>
      <c r="E165" s="43" t="n">
        <f aca="false">IFERROR(D165/C165,0)</f>
        <v>0</v>
      </c>
      <c r="F165" s="31"/>
      <c r="G165" s="31"/>
      <c r="H165" s="31"/>
      <c r="I165" s="31"/>
      <c r="J165" s="31"/>
    </row>
    <row r="166" customFormat="false" ht="15" hidden="false" customHeight="false" outlineLevel="0" collapsed="false">
      <c r="A166" s="38"/>
      <c r="B166" s="25"/>
      <c r="C166" s="25"/>
      <c r="D166" s="25"/>
      <c r="E166" s="41" t="n">
        <f aca="false">IFERROR(D166/C166,0)</f>
        <v>0</v>
      </c>
      <c r="F166" s="25"/>
      <c r="G166" s="25"/>
      <c r="H166" s="25"/>
      <c r="I166" s="25"/>
      <c r="J166" s="25"/>
    </row>
    <row r="167" customFormat="false" ht="15" hidden="false" customHeight="false" outlineLevel="0" collapsed="false">
      <c r="A167" s="39"/>
      <c r="B167" s="31"/>
      <c r="C167" s="31"/>
      <c r="D167" s="31"/>
      <c r="E167" s="43" t="n">
        <f aca="false">IFERROR(D167/C167,0)</f>
        <v>0</v>
      </c>
      <c r="F167" s="31"/>
      <c r="G167" s="31"/>
      <c r="H167" s="31"/>
      <c r="I167" s="31"/>
      <c r="J167" s="31"/>
    </row>
    <row r="168" customFormat="false" ht="15" hidden="false" customHeight="false" outlineLevel="0" collapsed="false">
      <c r="A168" s="38"/>
      <c r="B168" s="25"/>
      <c r="C168" s="25"/>
      <c r="D168" s="25"/>
      <c r="E168" s="41" t="n">
        <f aca="false">IFERROR(D168/C168,0)</f>
        <v>0</v>
      </c>
      <c r="F168" s="25"/>
      <c r="G168" s="25"/>
      <c r="H168" s="25"/>
      <c r="I168" s="25"/>
      <c r="J168" s="25"/>
    </row>
    <row r="169" customFormat="false" ht="15" hidden="false" customHeight="false" outlineLevel="0" collapsed="false">
      <c r="A169" s="39"/>
      <c r="B169" s="31"/>
      <c r="C169" s="31"/>
      <c r="D169" s="31"/>
      <c r="E169" s="43" t="n">
        <f aca="false">IFERROR(D169/C169,0)</f>
        <v>0</v>
      </c>
      <c r="F169" s="31"/>
      <c r="G169" s="31"/>
      <c r="H169" s="31"/>
      <c r="I169" s="31"/>
      <c r="J169" s="31"/>
    </row>
    <row r="170" customFormat="false" ht="15" hidden="false" customHeight="false" outlineLevel="0" collapsed="false">
      <c r="A170" s="38"/>
      <c r="B170" s="25"/>
      <c r="C170" s="25"/>
      <c r="D170" s="25"/>
      <c r="E170" s="41" t="n">
        <f aca="false">IFERROR(D170/C170,0)</f>
        <v>0</v>
      </c>
      <c r="F170" s="25"/>
      <c r="G170" s="25"/>
      <c r="H170" s="25"/>
      <c r="I170" s="25"/>
      <c r="J170" s="25"/>
    </row>
    <row r="171" customFormat="false" ht="15" hidden="false" customHeight="false" outlineLevel="0" collapsed="false">
      <c r="A171" s="39"/>
      <c r="B171" s="31"/>
      <c r="C171" s="31"/>
      <c r="D171" s="31"/>
      <c r="E171" s="43" t="n">
        <f aca="false">IFERROR(D171/C171,0)</f>
        <v>0</v>
      </c>
      <c r="F171" s="31"/>
      <c r="G171" s="31"/>
      <c r="H171" s="31"/>
      <c r="I171" s="31"/>
      <c r="J171" s="31"/>
    </row>
    <row r="172" customFormat="false" ht="15" hidden="false" customHeight="false" outlineLevel="0" collapsed="false">
      <c r="A172" s="38"/>
      <c r="B172" s="25"/>
      <c r="C172" s="25"/>
      <c r="D172" s="25"/>
      <c r="E172" s="41" t="n">
        <f aca="false">IFERROR(D172/C172,0)</f>
        <v>0</v>
      </c>
      <c r="F172" s="25"/>
      <c r="G172" s="25"/>
      <c r="H172" s="25"/>
      <c r="I172" s="25"/>
      <c r="J172" s="25"/>
    </row>
    <row r="173" customFormat="false" ht="15" hidden="false" customHeight="false" outlineLevel="0" collapsed="false">
      <c r="A173" s="39"/>
      <c r="B173" s="31"/>
      <c r="C173" s="31"/>
      <c r="D173" s="31"/>
      <c r="E173" s="43" t="n">
        <f aca="false">IFERROR(D173/C173,0)</f>
        <v>0</v>
      </c>
      <c r="F173" s="31"/>
      <c r="G173" s="31"/>
      <c r="H173" s="31"/>
      <c r="I173" s="31"/>
      <c r="J173" s="31"/>
    </row>
    <row r="174" customFormat="false" ht="15" hidden="false" customHeight="false" outlineLevel="0" collapsed="false">
      <c r="A174" s="38"/>
      <c r="B174" s="25"/>
      <c r="C174" s="25"/>
      <c r="D174" s="25"/>
      <c r="E174" s="41" t="n">
        <f aca="false">IFERROR(D174/C174,0)</f>
        <v>0</v>
      </c>
      <c r="F174" s="25"/>
      <c r="G174" s="25"/>
      <c r="H174" s="25"/>
      <c r="I174" s="25"/>
      <c r="J174" s="25"/>
    </row>
    <row r="175" customFormat="false" ht="15" hidden="false" customHeight="false" outlineLevel="0" collapsed="false">
      <c r="A175" s="39"/>
      <c r="B175" s="31"/>
      <c r="C175" s="31"/>
      <c r="D175" s="31"/>
      <c r="E175" s="43" t="n">
        <f aca="false">IFERROR(D175/C175,0)</f>
        <v>0</v>
      </c>
      <c r="F175" s="31"/>
      <c r="G175" s="31"/>
      <c r="H175" s="31"/>
      <c r="I175" s="31"/>
      <c r="J175" s="31"/>
    </row>
    <row r="176" customFormat="false" ht="15" hidden="false" customHeight="false" outlineLevel="0" collapsed="false">
      <c r="A176" s="38"/>
      <c r="B176" s="25"/>
      <c r="C176" s="25"/>
      <c r="D176" s="25"/>
      <c r="E176" s="41" t="n">
        <f aca="false">IFERROR(D176/C176,0)</f>
        <v>0</v>
      </c>
      <c r="F176" s="25"/>
      <c r="G176" s="25"/>
      <c r="H176" s="25"/>
      <c r="I176" s="25"/>
      <c r="J176" s="25"/>
    </row>
    <row r="177" customFormat="false" ht="15" hidden="false" customHeight="false" outlineLevel="0" collapsed="false">
      <c r="A177" s="39"/>
      <c r="B177" s="31"/>
      <c r="C177" s="31"/>
      <c r="D177" s="31"/>
      <c r="E177" s="43" t="n">
        <f aca="false">IFERROR(D177/C177,0)</f>
        <v>0</v>
      </c>
      <c r="F177" s="31"/>
      <c r="G177" s="31"/>
      <c r="H177" s="31"/>
      <c r="I177" s="31"/>
      <c r="J177" s="31"/>
    </row>
    <row r="178" customFormat="false" ht="15" hidden="false" customHeight="false" outlineLevel="0" collapsed="false">
      <c r="A178" s="38"/>
      <c r="B178" s="25"/>
      <c r="C178" s="25"/>
      <c r="D178" s="25"/>
      <c r="E178" s="41" t="n">
        <f aca="false">IFERROR(D178/C178,0)</f>
        <v>0</v>
      </c>
      <c r="F178" s="25"/>
      <c r="G178" s="25"/>
      <c r="H178" s="25"/>
      <c r="I178" s="25"/>
      <c r="J178" s="25"/>
    </row>
    <row r="179" customFormat="false" ht="15" hidden="false" customHeight="false" outlineLevel="0" collapsed="false">
      <c r="A179" s="39"/>
      <c r="B179" s="31"/>
      <c r="C179" s="31"/>
      <c r="D179" s="31"/>
      <c r="E179" s="43" t="n">
        <f aca="false">IFERROR(D179/C179,0)</f>
        <v>0</v>
      </c>
      <c r="F179" s="31"/>
      <c r="G179" s="31"/>
      <c r="H179" s="31"/>
      <c r="I179" s="31"/>
      <c r="J179" s="31"/>
    </row>
    <row r="180" customFormat="false" ht="15" hidden="false" customHeight="false" outlineLevel="0" collapsed="false">
      <c r="A180" s="38"/>
      <c r="B180" s="25"/>
      <c r="C180" s="25"/>
      <c r="D180" s="25"/>
      <c r="E180" s="41" t="n">
        <f aca="false">IFERROR(D180/C180,0)</f>
        <v>0</v>
      </c>
      <c r="F180" s="25"/>
      <c r="G180" s="25"/>
      <c r="H180" s="25"/>
      <c r="I180" s="25"/>
      <c r="J180" s="25"/>
    </row>
    <row r="181" customFormat="false" ht="15" hidden="false" customHeight="false" outlineLevel="0" collapsed="false">
      <c r="A181" s="39"/>
      <c r="B181" s="31"/>
      <c r="C181" s="31"/>
      <c r="D181" s="31"/>
      <c r="E181" s="43" t="n">
        <f aca="false">IFERROR(D181/C181,0)</f>
        <v>0</v>
      </c>
      <c r="F181" s="31"/>
      <c r="G181" s="31"/>
      <c r="H181" s="31"/>
      <c r="I181" s="31"/>
      <c r="J181" s="31"/>
    </row>
    <row r="182" customFormat="false" ht="15" hidden="false" customHeight="false" outlineLevel="0" collapsed="false">
      <c r="A182" s="38"/>
      <c r="B182" s="25"/>
      <c r="C182" s="25"/>
      <c r="D182" s="25"/>
      <c r="E182" s="41" t="n">
        <f aca="false">IFERROR(D182/C182,0)</f>
        <v>0</v>
      </c>
      <c r="F182" s="25"/>
      <c r="G182" s="25"/>
      <c r="H182" s="25"/>
      <c r="I182" s="25"/>
      <c r="J182" s="25"/>
    </row>
    <row r="183" customFormat="false" ht="15" hidden="false" customHeight="false" outlineLevel="0" collapsed="false">
      <c r="A183" s="39"/>
      <c r="B183" s="31"/>
      <c r="C183" s="31"/>
      <c r="D183" s="31"/>
      <c r="E183" s="43" t="n">
        <f aca="false">IFERROR(D183/C183,0)</f>
        <v>0</v>
      </c>
      <c r="F183" s="31"/>
      <c r="G183" s="31"/>
      <c r="H183" s="31"/>
      <c r="I183" s="31"/>
      <c r="J183" s="31"/>
    </row>
    <row r="184" customFormat="false" ht="15" hidden="false" customHeight="false" outlineLevel="0" collapsed="false">
      <c r="A184" s="38"/>
      <c r="B184" s="25"/>
      <c r="C184" s="25"/>
      <c r="D184" s="25"/>
      <c r="E184" s="41" t="n">
        <f aca="false">IFERROR(D184/C184,0)</f>
        <v>0</v>
      </c>
      <c r="F184" s="25"/>
      <c r="G184" s="25"/>
      <c r="H184" s="25"/>
      <c r="I184" s="25"/>
      <c r="J184" s="25"/>
    </row>
    <row r="185" customFormat="false" ht="15" hidden="false" customHeight="false" outlineLevel="0" collapsed="false">
      <c r="A185" s="39"/>
      <c r="B185" s="31"/>
      <c r="C185" s="31"/>
      <c r="D185" s="31"/>
      <c r="E185" s="43" t="n">
        <f aca="false">IFERROR(D185/C185,0)</f>
        <v>0</v>
      </c>
      <c r="F185" s="31"/>
      <c r="G185" s="31"/>
      <c r="H185" s="31"/>
      <c r="I185" s="31"/>
      <c r="J185" s="31"/>
    </row>
    <row r="186" customFormat="false" ht="15" hidden="false" customHeight="false" outlineLevel="0" collapsed="false">
      <c r="A186" s="38"/>
      <c r="B186" s="25"/>
      <c r="C186" s="25"/>
      <c r="D186" s="25"/>
      <c r="E186" s="41" t="n">
        <f aca="false">IFERROR(D186/C186,0)</f>
        <v>0</v>
      </c>
      <c r="F186" s="25"/>
      <c r="G186" s="25"/>
      <c r="H186" s="25"/>
      <c r="I186" s="25"/>
      <c r="J186" s="25"/>
    </row>
    <row r="187" customFormat="false" ht="15" hidden="false" customHeight="false" outlineLevel="0" collapsed="false">
      <c r="A187" s="39"/>
      <c r="B187" s="31"/>
      <c r="C187" s="31"/>
      <c r="D187" s="31"/>
      <c r="E187" s="43" t="n">
        <f aca="false">IFERROR(D187/C187,0)</f>
        <v>0</v>
      </c>
      <c r="F187" s="31"/>
      <c r="G187" s="31"/>
      <c r="H187" s="31"/>
      <c r="I187" s="31"/>
      <c r="J187" s="31"/>
    </row>
    <row r="188" customFormat="false" ht="15" hidden="false" customHeight="false" outlineLevel="0" collapsed="false">
      <c r="A188" s="38"/>
      <c r="B188" s="25"/>
      <c r="C188" s="25"/>
      <c r="D188" s="25"/>
      <c r="E188" s="41" t="n">
        <f aca="false">IFERROR(D188/C188,0)</f>
        <v>0</v>
      </c>
      <c r="F188" s="25"/>
      <c r="G188" s="25"/>
      <c r="H188" s="25"/>
      <c r="I188" s="25"/>
      <c r="J188" s="25"/>
    </row>
    <row r="189" customFormat="false" ht="15" hidden="false" customHeight="false" outlineLevel="0" collapsed="false">
      <c r="A189" s="39"/>
      <c r="B189" s="31"/>
      <c r="C189" s="31"/>
      <c r="D189" s="31"/>
      <c r="E189" s="43" t="n">
        <f aca="false">IFERROR(D189/C189,0)</f>
        <v>0</v>
      </c>
      <c r="F189" s="31"/>
      <c r="G189" s="31"/>
      <c r="H189" s="31"/>
      <c r="I189" s="31"/>
      <c r="J189" s="31"/>
    </row>
    <row r="190" customFormat="false" ht="15" hidden="false" customHeight="false" outlineLevel="0" collapsed="false">
      <c r="A190" s="38"/>
      <c r="B190" s="25"/>
      <c r="C190" s="25"/>
      <c r="D190" s="25"/>
      <c r="E190" s="41" t="n">
        <f aca="false">IFERROR(D190/C190,0)</f>
        <v>0</v>
      </c>
      <c r="F190" s="25"/>
      <c r="G190" s="25"/>
      <c r="H190" s="25"/>
      <c r="I190" s="25"/>
      <c r="J190" s="25"/>
    </row>
    <row r="191" customFormat="false" ht="15" hidden="false" customHeight="false" outlineLevel="0" collapsed="false">
      <c r="A191" s="39"/>
      <c r="B191" s="31"/>
      <c r="C191" s="31"/>
      <c r="D191" s="31"/>
      <c r="E191" s="43" t="n">
        <f aca="false">IFERROR(D191/C191,0)</f>
        <v>0</v>
      </c>
      <c r="F191" s="31"/>
      <c r="G191" s="31"/>
      <c r="H191" s="31"/>
      <c r="I191" s="31"/>
      <c r="J191" s="31"/>
    </row>
    <row r="192" customFormat="false" ht="15" hidden="false" customHeight="false" outlineLevel="0" collapsed="false">
      <c r="A192" s="38"/>
      <c r="B192" s="25"/>
      <c r="C192" s="25"/>
      <c r="D192" s="25"/>
      <c r="E192" s="41" t="n">
        <f aca="false">IFERROR(D192/C192,0)</f>
        <v>0</v>
      </c>
      <c r="F192" s="25"/>
      <c r="G192" s="25"/>
      <c r="H192" s="25"/>
      <c r="I192" s="25"/>
      <c r="J192" s="25"/>
    </row>
    <row r="193" customFormat="false" ht="15" hidden="false" customHeight="false" outlineLevel="0" collapsed="false">
      <c r="A193" s="39"/>
      <c r="B193" s="31"/>
      <c r="C193" s="31"/>
      <c r="D193" s="31"/>
      <c r="E193" s="43" t="n">
        <f aca="false">IFERROR(D193/C193,0)</f>
        <v>0</v>
      </c>
      <c r="F193" s="31"/>
      <c r="G193" s="31"/>
      <c r="H193" s="31"/>
      <c r="I193" s="31"/>
      <c r="J193" s="31"/>
    </row>
    <row r="194" customFormat="false" ht="15" hidden="false" customHeight="false" outlineLevel="0" collapsed="false">
      <c r="A194" s="38"/>
      <c r="B194" s="25"/>
      <c r="C194" s="25"/>
      <c r="D194" s="25"/>
      <c r="E194" s="41" t="n">
        <f aca="false">IFERROR(D194/C194,0)</f>
        <v>0</v>
      </c>
      <c r="F194" s="25"/>
      <c r="G194" s="25"/>
      <c r="H194" s="25"/>
      <c r="I194" s="25"/>
      <c r="J194" s="25"/>
    </row>
    <row r="195" customFormat="false" ht="15" hidden="false" customHeight="false" outlineLevel="0" collapsed="false">
      <c r="A195" s="39"/>
      <c r="B195" s="31"/>
      <c r="C195" s="31"/>
      <c r="D195" s="31"/>
      <c r="E195" s="43" t="n">
        <f aca="false">IFERROR(D195/C195,0)</f>
        <v>0</v>
      </c>
      <c r="F195" s="31"/>
      <c r="G195" s="31"/>
      <c r="H195" s="31"/>
      <c r="I195" s="31"/>
      <c r="J195" s="31"/>
    </row>
    <row r="196" customFormat="false" ht="15" hidden="false" customHeight="false" outlineLevel="0" collapsed="false">
      <c r="A196" s="38"/>
      <c r="B196" s="25"/>
      <c r="C196" s="25"/>
      <c r="D196" s="25"/>
      <c r="E196" s="41" t="n">
        <f aca="false">IFERROR(D196/C196,0)</f>
        <v>0</v>
      </c>
      <c r="F196" s="25"/>
      <c r="G196" s="25"/>
      <c r="H196" s="25"/>
      <c r="I196" s="25"/>
      <c r="J196" s="25"/>
    </row>
    <row r="197" customFormat="false" ht="15" hidden="false" customHeight="false" outlineLevel="0" collapsed="false">
      <c r="A197" s="39"/>
      <c r="B197" s="31"/>
      <c r="C197" s="31"/>
      <c r="D197" s="31"/>
      <c r="E197" s="43" t="n">
        <f aca="false">IFERROR(D197/C197,0)</f>
        <v>0</v>
      </c>
      <c r="F197" s="31"/>
      <c r="G197" s="31"/>
      <c r="H197" s="31"/>
      <c r="I197" s="31"/>
      <c r="J197" s="31"/>
    </row>
    <row r="198" customFormat="false" ht="15" hidden="false" customHeight="false" outlineLevel="0" collapsed="false">
      <c r="A198" s="38"/>
      <c r="B198" s="25"/>
      <c r="C198" s="25"/>
      <c r="D198" s="25"/>
      <c r="E198" s="41" t="n">
        <f aca="false">IFERROR(D198/C198,0)</f>
        <v>0</v>
      </c>
      <c r="F198" s="25"/>
      <c r="G198" s="25"/>
      <c r="H198" s="25"/>
      <c r="I198" s="25"/>
      <c r="J198" s="25"/>
    </row>
    <row r="199" customFormat="false" ht="15" hidden="false" customHeight="false" outlineLevel="0" collapsed="false">
      <c r="A199" s="39"/>
      <c r="B199" s="31"/>
      <c r="C199" s="31"/>
      <c r="D199" s="31"/>
      <c r="E199" s="43" t="n">
        <f aca="false">IFERROR(D199/C199,0)</f>
        <v>0</v>
      </c>
      <c r="F199" s="31"/>
      <c r="G199" s="31"/>
      <c r="H199" s="31"/>
      <c r="I199" s="31"/>
      <c r="J199" s="31"/>
    </row>
    <row r="200" customFormat="false" ht="15" hidden="false" customHeight="false" outlineLevel="0" collapsed="false">
      <c r="A200" s="38"/>
      <c r="B200" s="25"/>
      <c r="C200" s="25"/>
      <c r="D200" s="25"/>
      <c r="E200" s="41" t="n">
        <f aca="false">IFERROR(D200/C200,0)</f>
        <v>0</v>
      </c>
      <c r="F200" s="25"/>
      <c r="G200" s="25"/>
      <c r="H200" s="25"/>
      <c r="I200" s="25"/>
      <c r="J200" s="25"/>
    </row>
  </sheetData>
  <autoFilter ref="A3:J200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B4:B200" type="list">
      <formula1>"Anjali,Samiksha"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30" hidden="false" customHeight="true" outlineLevel="0" collapsed="false">
      <c r="A1" s="44" t="s">
        <v>106</v>
      </c>
      <c r="B1" s="44"/>
    </row>
    <row r="2" customFormat="false" ht="19.5" hidden="false" customHeight="true" outlineLevel="0" collapsed="false">
      <c r="A2" s="37" t="s">
        <v>107</v>
      </c>
      <c r="B2" s="37"/>
    </row>
    <row r="4" customFormat="false" ht="21.75" hidden="false" customHeight="true" outlineLevel="0" collapsed="false">
      <c r="A4" s="3" t="s">
        <v>108</v>
      </c>
      <c r="B4" s="3"/>
    </row>
    <row r="5" customFormat="false" ht="25.5" hidden="false" customHeight="true" outlineLevel="0" collapsed="false">
      <c r="A5" s="45" t="s">
        <v>109</v>
      </c>
      <c r="B5" s="33" t="s">
        <v>110</v>
      </c>
    </row>
    <row r="6" customFormat="false" ht="25.5" hidden="false" customHeight="true" outlineLevel="0" collapsed="false">
      <c r="A6" s="45" t="s">
        <v>111</v>
      </c>
      <c r="B6" s="33" t="s">
        <v>112</v>
      </c>
    </row>
    <row r="7" customFormat="false" ht="25.5" hidden="false" customHeight="true" outlineLevel="0" collapsed="false">
      <c r="A7" s="45" t="s">
        <v>113</v>
      </c>
      <c r="B7" s="33" t="s">
        <v>114</v>
      </c>
    </row>
    <row r="8" customFormat="false" ht="25.5" hidden="false" customHeight="true" outlineLevel="0" collapsed="false">
      <c r="A8" s="45" t="s">
        <v>115</v>
      </c>
      <c r="B8" s="33" t="s">
        <v>116</v>
      </c>
    </row>
    <row r="9" customFormat="false" ht="21.75" hidden="false" customHeight="true" outlineLevel="0" collapsed="false">
      <c r="A9" s="3"/>
      <c r="B9" s="3"/>
    </row>
    <row r="10" customFormat="false" ht="21.75" hidden="false" customHeight="true" outlineLevel="0" collapsed="false">
      <c r="A10" s="3" t="s">
        <v>117</v>
      </c>
      <c r="B10" s="3"/>
    </row>
    <row r="11" customFormat="false" ht="25.5" hidden="false" customHeight="true" outlineLevel="0" collapsed="false">
      <c r="A11" s="45" t="s">
        <v>118</v>
      </c>
      <c r="B11" s="33" t="s">
        <v>119</v>
      </c>
    </row>
    <row r="12" customFormat="false" ht="25.5" hidden="false" customHeight="true" outlineLevel="0" collapsed="false">
      <c r="A12" s="45" t="s">
        <v>120</v>
      </c>
      <c r="B12" s="33" t="s">
        <v>121</v>
      </c>
    </row>
    <row r="13" customFormat="false" ht="25.5" hidden="false" customHeight="true" outlineLevel="0" collapsed="false">
      <c r="A13" s="45" t="s">
        <v>122</v>
      </c>
      <c r="B13" s="33" t="s">
        <v>123</v>
      </c>
    </row>
    <row r="14" customFormat="false" ht="25.5" hidden="false" customHeight="true" outlineLevel="0" collapsed="false">
      <c r="A14" s="45" t="s">
        <v>124</v>
      </c>
      <c r="B14" s="33" t="s">
        <v>125</v>
      </c>
    </row>
    <row r="15" customFormat="false" ht="25.5" hidden="false" customHeight="true" outlineLevel="0" collapsed="false">
      <c r="A15" s="45" t="s">
        <v>126</v>
      </c>
      <c r="B15" s="33" t="s">
        <v>127</v>
      </c>
    </row>
    <row r="16" customFormat="false" ht="25.5" hidden="false" customHeight="true" outlineLevel="0" collapsed="false">
      <c r="A16" s="45" t="s">
        <v>128</v>
      </c>
      <c r="B16" s="33" t="s">
        <v>129</v>
      </c>
    </row>
    <row r="17" customFormat="false" ht="25.5" hidden="false" customHeight="true" outlineLevel="0" collapsed="false">
      <c r="A17" s="45" t="s">
        <v>130</v>
      </c>
      <c r="B17" s="33" t="s">
        <v>131</v>
      </c>
    </row>
    <row r="18" customFormat="false" ht="25.5" hidden="false" customHeight="true" outlineLevel="0" collapsed="false">
      <c r="A18" s="45" t="s">
        <v>132</v>
      </c>
      <c r="B18" s="33" t="s">
        <v>133</v>
      </c>
    </row>
    <row r="19" customFormat="false" ht="25.5" hidden="false" customHeight="true" outlineLevel="0" collapsed="false">
      <c r="A19" s="45" t="s">
        <v>134</v>
      </c>
      <c r="B19" s="33" t="s">
        <v>135</v>
      </c>
    </row>
    <row r="20" customFormat="false" ht="25.5" hidden="false" customHeight="true" outlineLevel="0" collapsed="false">
      <c r="A20" s="45" t="s">
        <v>136</v>
      </c>
      <c r="B20" s="33" t="s">
        <v>137</v>
      </c>
    </row>
    <row r="21" customFormat="false" ht="25.5" hidden="false" customHeight="true" outlineLevel="0" collapsed="false">
      <c r="A21" s="45" t="s">
        <v>138</v>
      </c>
      <c r="B21" s="33" t="s">
        <v>139</v>
      </c>
    </row>
    <row r="22" customFormat="false" ht="21.75" hidden="false" customHeight="true" outlineLevel="0" collapsed="false">
      <c r="A22" s="3"/>
      <c r="B22" s="3"/>
    </row>
    <row r="23" customFormat="false" ht="21.75" hidden="false" customHeight="true" outlineLevel="0" collapsed="false">
      <c r="A23" s="3" t="s">
        <v>140</v>
      </c>
      <c r="B23" s="3"/>
    </row>
    <row r="24" customFormat="false" ht="25.5" hidden="false" customHeight="true" outlineLevel="0" collapsed="false">
      <c r="A24" s="45" t="s">
        <v>141</v>
      </c>
      <c r="B24" s="33" t="s">
        <v>142</v>
      </c>
    </row>
    <row r="25" customFormat="false" ht="25.5" hidden="false" customHeight="true" outlineLevel="0" collapsed="false">
      <c r="A25" s="45" t="s">
        <v>143</v>
      </c>
      <c r="B25" s="33" t="s">
        <v>144</v>
      </c>
    </row>
    <row r="26" customFormat="false" ht="25.5" hidden="false" customHeight="true" outlineLevel="0" collapsed="false">
      <c r="A26" s="45" t="s">
        <v>145</v>
      </c>
      <c r="B26" s="33" t="s">
        <v>146</v>
      </c>
    </row>
    <row r="27" customFormat="false" ht="25.5" hidden="false" customHeight="true" outlineLevel="0" collapsed="false">
      <c r="A27" s="45" t="s">
        <v>147</v>
      </c>
      <c r="B27" s="33" t="s">
        <v>148</v>
      </c>
    </row>
    <row r="28" customFormat="false" ht="21.75" hidden="false" customHeight="true" outlineLevel="0" collapsed="false">
      <c r="A28" s="3"/>
      <c r="B28" s="3"/>
    </row>
    <row r="29" customFormat="false" ht="21.75" hidden="false" customHeight="true" outlineLevel="0" collapsed="false">
      <c r="A29" s="3" t="s">
        <v>149</v>
      </c>
      <c r="B29" s="3"/>
    </row>
    <row r="30" customFormat="false" ht="25.5" hidden="false" customHeight="true" outlineLevel="0" collapsed="false">
      <c r="A30" s="45" t="s">
        <v>150</v>
      </c>
      <c r="B30" s="33" t="s">
        <v>151</v>
      </c>
    </row>
    <row r="31" customFormat="false" ht="25.5" hidden="false" customHeight="true" outlineLevel="0" collapsed="false">
      <c r="A31" s="45" t="s">
        <v>152</v>
      </c>
      <c r="B31" s="33" t="s">
        <v>153</v>
      </c>
    </row>
    <row r="32" customFormat="false" ht="25.5" hidden="false" customHeight="true" outlineLevel="0" collapsed="false">
      <c r="A32" s="45" t="s">
        <v>154</v>
      </c>
      <c r="B32" s="33" t="s">
        <v>155</v>
      </c>
    </row>
    <row r="33" customFormat="false" ht="25.5" hidden="false" customHeight="true" outlineLevel="0" collapsed="false">
      <c r="A33" s="45" t="s">
        <v>156</v>
      </c>
      <c r="B33" s="33" t="s">
        <v>157</v>
      </c>
    </row>
    <row r="34" customFormat="false" ht="25.5" hidden="false" customHeight="true" outlineLevel="0" collapsed="false">
      <c r="A34" s="45" t="s">
        <v>158</v>
      </c>
      <c r="B34" s="33" t="s">
        <v>159</v>
      </c>
    </row>
    <row r="35" customFormat="false" ht="21.75" hidden="false" customHeight="true" outlineLevel="0" collapsed="false">
      <c r="A35" s="3"/>
      <c r="B35" s="3"/>
    </row>
    <row r="36" customFormat="false" ht="21.75" hidden="false" customHeight="true" outlineLevel="0" collapsed="false">
      <c r="A36" s="3" t="s">
        <v>160</v>
      </c>
      <c r="B36" s="3"/>
    </row>
    <row r="37" customFormat="false" ht="25.5" hidden="false" customHeight="true" outlineLevel="0" collapsed="false">
      <c r="A37" s="45" t="s">
        <v>161</v>
      </c>
      <c r="B37" s="33" t="s">
        <v>162</v>
      </c>
    </row>
    <row r="38" customFormat="false" ht="25.5" hidden="false" customHeight="true" outlineLevel="0" collapsed="false">
      <c r="A38" s="45" t="s">
        <v>163</v>
      </c>
      <c r="B38" s="33" t="s">
        <v>164</v>
      </c>
    </row>
    <row r="39" customFormat="false" ht="25.5" hidden="false" customHeight="true" outlineLevel="0" collapsed="false">
      <c r="A39" s="45" t="s">
        <v>165</v>
      </c>
      <c r="B39" s="33" t="s">
        <v>166</v>
      </c>
    </row>
    <row r="40" customFormat="false" ht="21.75" hidden="false" customHeight="true" outlineLevel="0" collapsed="false">
      <c r="A40" s="3"/>
      <c r="B40" s="3"/>
    </row>
    <row r="41" customFormat="false" ht="21.75" hidden="false" customHeight="true" outlineLevel="0" collapsed="false">
      <c r="A41" s="3" t="s">
        <v>167</v>
      </c>
      <c r="B41" s="3"/>
    </row>
    <row r="42" customFormat="false" ht="25.5" hidden="false" customHeight="true" outlineLevel="0" collapsed="false">
      <c r="A42" s="45" t="s">
        <v>168</v>
      </c>
      <c r="B42" s="33" t="s">
        <v>169</v>
      </c>
    </row>
    <row r="43" customFormat="false" ht="25.5" hidden="false" customHeight="true" outlineLevel="0" collapsed="false">
      <c r="A43" s="45" t="s">
        <v>170</v>
      </c>
      <c r="B43" s="33" t="s">
        <v>171</v>
      </c>
    </row>
    <row r="44" customFormat="false" ht="25.5" hidden="false" customHeight="true" outlineLevel="0" collapsed="false">
      <c r="A44" s="45" t="s">
        <v>172</v>
      </c>
      <c r="B44" s="33" t="s">
        <v>173</v>
      </c>
    </row>
    <row r="45" customFormat="false" ht="25.5" hidden="false" customHeight="true" outlineLevel="0" collapsed="false">
      <c r="A45" s="45" t="s">
        <v>174</v>
      </c>
      <c r="B45" s="33" t="s">
        <v>175</v>
      </c>
    </row>
  </sheetData>
  <mergeCells count="13">
    <mergeCell ref="A1:B1"/>
    <mergeCell ref="A2:B2"/>
    <mergeCell ref="A4:B4"/>
    <mergeCell ref="A9:B9"/>
    <mergeCell ref="A10:B10"/>
    <mergeCell ref="A22:B22"/>
    <mergeCell ref="A23:B23"/>
    <mergeCell ref="A28:B28"/>
    <mergeCell ref="A29:B29"/>
    <mergeCell ref="A35:B35"/>
    <mergeCell ref="A36:B36"/>
    <mergeCell ref="A40:B40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2026-05-19T20:17:20Z</dcterms:created>
  <dc:creator>openpyxl</dc:creator>
  <dc:description/>
  <dc:language>en-US</dc:language>
  <cp:lastModifiedBy/>
  <dcterms:modified xsi:type="dcterms:W3CDTF">2026-05-19T20:17:22Z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